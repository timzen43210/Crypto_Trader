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'資金明細'!$A$1:$Z$129</definedName>
    <definedName name="_xlnm._FilterDatabase" localSheetId="5" hidden="1">'交易明細'!$A$1:$AH$65</definedName>
    <definedName name="_xlnm._FilterDatabase" localSheetId="6" hidden="1">'幣種統計'!$A$1:$L$44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COUNTIFS(交易明細!$B$2:$B$65,"&lt;&gt;")</f>
        <v/>
      </c>
      <c r="C5" s="2">
        <f>D5+E5+F5</f>
        <v/>
      </c>
      <c r="D5" s="2">
        <f>COUNTIFS(交易明細!$J$2:$J$65,"止盈")</f>
        <v/>
      </c>
      <c r="E5" s="2">
        <f>COUNTIFS(交易明細!$J$2:$J$65,"止損")</f>
        <v/>
      </c>
      <c r="F5" s="2">
        <f>COUNTIFS(交易明細!$J$2:$J$65,"時間出場")</f>
        <v/>
      </c>
      <c r="G5" s="2">
        <f>COUNTIFS(交易明細!$J$2:$J$65,"未平倉")</f>
        <v/>
      </c>
      <c r="H5" s="4">
        <f>IFERROR(D5/C5,0)</f>
        <v/>
      </c>
      <c r="I5" s="4">
        <f>IFERROR(AVERAGEIFS(交易明細!$AC$2:$AC$65,交易明細!$J$2:$J$65,"&lt;&gt;未平倉"),參數!$B$16)</f>
        <v/>
      </c>
      <c r="J5" s="4">
        <f>IFERROR(AVERAGEIFS(交易明細!$L$2:$L$65,交易明細!$J$2:$J$65,"&lt;&gt;未平倉"),0)</f>
        <v/>
      </c>
      <c r="K5" s="4">
        <f>SUMIFS(交易明細!$L$2:$L$65,交易明細!$J$2:$J$65,"&lt;&gt;未平倉")</f>
        <v/>
      </c>
      <c r="L5" s="5">
        <f>IFERROR(AVERAGEIFS(交易明細!$K$2:$K$65,交易明細!$J$2:$J$65,"&lt;&gt;未平倉"),0)</f>
        <v/>
      </c>
      <c r="M5" s="5">
        <f>IFERROR(AVERAGEIFS(交易明細!$K$2:$K$65,交易明細!$J$2:$J$65,"止盈"),0)</f>
        <v/>
      </c>
      <c r="N5" s="5">
        <f>IFERROR(AVERAGEIFS(交易明細!$K$2:$K$65,交易明細!$J$2:$J$65,"止損"),0)</f>
        <v/>
      </c>
      <c r="O5" s="4">
        <f>IFERROR(AVERAGEIFS(交易明細!$L$2:$L$65,交易明細!$J$2:$J$65,"時間出場"),0)</f>
        <v/>
      </c>
      <c r="P5" s="4">
        <f>IFERROR(COUNTIFS(交易明細!$J$2:$J$65,"&lt;&gt;未平倉",交易明細!$L$2:$L$65,"&gt;0")/C5,0)</f>
        <v/>
      </c>
    </row>
    <row r="6">
      <c r="A6" s="2" t="inlineStr">
        <is>
          <t>做多</t>
        </is>
      </c>
      <c r="B6" s="2">
        <f>COUNTIFS(交易明細!$C$2:$C$65,"做多",交易明細!$B$2:$B$65,"&lt;&gt;")</f>
        <v/>
      </c>
      <c r="C6" s="2">
        <f>D6+E6+F6</f>
        <v/>
      </c>
      <c r="D6" s="2">
        <f>COUNTIFS(交易明細!$C$2:$C$65,"做多",交易明細!$J$2:$J$65,"止盈")</f>
        <v/>
      </c>
      <c r="E6" s="2">
        <f>COUNTIFS(交易明細!$C$2:$C$65,"做多",交易明細!$J$2:$J$65,"止損")</f>
        <v/>
      </c>
      <c r="F6" s="2">
        <f>COUNTIFS(交易明細!$C$2:$C$65,"做多",交易明細!$J$2:$J$65,"時間出場")</f>
        <v/>
      </c>
      <c r="G6" s="2">
        <f>COUNTIFS(交易明細!$C$2:$C$65,"做多",交易明細!$J$2:$J$65,"未平倉")</f>
        <v/>
      </c>
      <c r="H6" s="4">
        <f>IFERROR(D6/C6,0)</f>
        <v/>
      </c>
      <c r="I6" s="4">
        <f>IFERROR(AVERAGEIFS(交易明細!$AC$2:$AC$65,交易明細!$C$2:$C$65,"做多",交易明細!$J$2:$J$65,"&lt;&gt;未平倉"),參數!$B$16)</f>
        <v/>
      </c>
      <c r="J6" s="4">
        <f>IFERROR(AVERAGEIFS(交易明細!$L$2:$L$65,交易明細!$C$2:$C$65,"做多",交易明細!$J$2:$J$65,"&lt;&gt;未平倉"),0)</f>
        <v/>
      </c>
      <c r="K6" s="4">
        <f>SUMIFS(交易明細!$L$2:$L$65,交易明細!$C$2:$C$65,"做多",交易明細!$J$2:$J$65,"&lt;&gt;未平倉")</f>
        <v/>
      </c>
      <c r="L6" s="5">
        <f>IFERROR(AVERAGEIFS(交易明細!$K$2:$K$65,交易明細!$C$2:$C$65,"做多",交易明細!$J$2:$J$65,"&lt;&gt;未平倉"),0)</f>
        <v/>
      </c>
      <c r="M6" s="5">
        <f>IFERROR(AVERAGEIFS(交易明細!$K$2:$K$65,交易明細!$C$2:$C$65,"做多",交易明細!$J$2:$J$65,"止盈"),0)</f>
        <v/>
      </c>
      <c r="N6" s="5">
        <f>IFERROR(AVERAGEIFS(交易明細!$K$2:$K$65,交易明細!$C$2:$C$65,"做多",交易明細!$J$2:$J$65,"止損"),0)</f>
        <v/>
      </c>
      <c r="O6" s="4">
        <f>IFERROR(AVERAGEIFS(交易明細!$L$2:$L$65,交易明細!$C$2:$C$65,"做多",交易明細!$J$2:$J$65,"時間出場"),0)</f>
        <v/>
      </c>
      <c r="P6" s="4">
        <f>IFERROR(COUNTIFS(交易明細!$C$2:$C$65,"做多",交易明細!$J$2:$J$65,"&lt;&gt;未平倉",交易明細!$L$2:$L$65,"&gt;0")/C6,0)</f>
        <v/>
      </c>
    </row>
    <row r="7">
      <c r="A7" s="2" t="inlineStr">
        <is>
          <t>做空</t>
        </is>
      </c>
      <c r="B7" s="2">
        <f>COUNTIFS(交易明細!$C$2:$C$65,"做空",交易明細!$B$2:$B$65,"&lt;&gt;")</f>
        <v/>
      </c>
      <c r="C7" s="2">
        <f>D7+E7+F7</f>
        <v/>
      </c>
      <c r="D7" s="2">
        <f>COUNTIFS(交易明細!$C$2:$C$65,"做空",交易明細!$J$2:$J$65,"止盈")</f>
        <v/>
      </c>
      <c r="E7" s="2">
        <f>COUNTIFS(交易明細!$C$2:$C$65,"做空",交易明細!$J$2:$J$65,"止損")</f>
        <v/>
      </c>
      <c r="F7" s="2">
        <f>COUNTIFS(交易明細!$C$2:$C$65,"做空",交易明細!$J$2:$J$65,"時間出場")</f>
        <v/>
      </c>
      <c r="G7" s="2">
        <f>COUNTIFS(交易明細!$C$2:$C$65,"做空",交易明細!$J$2:$J$65,"未平倉")</f>
        <v/>
      </c>
      <c r="H7" s="4">
        <f>IFERROR(D7/C7,0)</f>
        <v/>
      </c>
      <c r="I7" s="4">
        <f>IFERROR(AVERAGEIFS(交易明細!$AC$2:$AC$65,交易明細!$C$2:$C$65,"做空",交易明細!$J$2:$J$65,"&lt;&gt;未平倉"),參數!$B$16)</f>
        <v/>
      </c>
      <c r="J7" s="4">
        <f>IFERROR(AVERAGEIFS(交易明細!$L$2:$L$65,交易明細!$C$2:$C$65,"做空",交易明細!$J$2:$J$65,"&lt;&gt;未平倉"),0)</f>
        <v/>
      </c>
      <c r="K7" s="4">
        <f>SUMIFS(交易明細!$L$2:$L$65,交易明細!$C$2:$C$65,"做空",交易明細!$J$2:$J$65,"&lt;&gt;未平倉")</f>
        <v/>
      </c>
      <c r="L7" s="5">
        <f>IFERROR(AVERAGEIFS(交易明細!$K$2:$K$65,交易明細!$C$2:$C$65,"做空",交易明細!$J$2:$J$65,"&lt;&gt;未平倉"),0)</f>
        <v/>
      </c>
      <c r="M7" s="5">
        <f>IFERROR(AVERAGEIFS(交易明細!$K$2:$K$65,交易明細!$C$2:$C$65,"做空",交易明細!$J$2:$J$65,"止盈"),0)</f>
        <v/>
      </c>
      <c r="N7" s="5">
        <f>IFERROR(AVERAGEIFS(交易明細!$K$2:$K$65,交易明細!$C$2:$C$65,"做空",交易明細!$J$2:$J$65,"止損"),0)</f>
        <v/>
      </c>
      <c r="O7" s="4">
        <f>IFERROR(AVERAGEIFS(交易明細!$L$2:$L$65,交易明細!$C$2:$C$65,"做空",交易明細!$J$2:$J$65,"時間出場"),0)</f>
        <v/>
      </c>
      <c r="P7" s="4">
        <f>IFERROR(COUNTIFS(交易明細!$C$2:$C$65,"做空",交易明細!$J$2:$J$65,"&lt;&gt;未平倉",交易明細!$L$2:$L$65,"&gt;0")/C7,0)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46301.36894638889</v>
      </c>
      <c r="B2" s="7" t="n">
        <v>46301.36805555555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46301.10619697917</v>
      </c>
      <c r="B3" s="7" t="n">
        <v>46301.10486111111</v>
      </c>
      <c r="C3" s="2" t="n">
        <v>434</v>
      </c>
      <c r="D3" s="2" t="n">
        <v>2</v>
      </c>
      <c r="E3" s="2" t="n">
        <v>1</v>
      </c>
      <c r="F3" s="2" t="n">
        <v>0</v>
      </c>
      <c r="G3" s="2" t="n">
        <v>185.1</v>
      </c>
    </row>
    <row r="4">
      <c r="A4" s="7" t="n">
        <v>46300.94284798611</v>
      </c>
      <c r="B4" s="7" t="n">
        <v>46300.94166666667</v>
      </c>
      <c r="C4" s="2" t="n">
        <v>434</v>
      </c>
      <c r="D4" s="2" t="n">
        <v>1</v>
      </c>
      <c r="E4" s="2" t="n">
        <v>2</v>
      </c>
      <c r="F4" s="2" t="n">
        <v>0</v>
      </c>
      <c r="G4" s="2" t="n">
        <v>178.3</v>
      </c>
    </row>
    <row r="5">
      <c r="A5" s="7" t="n">
        <v>46300.71639594907</v>
      </c>
      <c r="B5" s="7" t="n">
        <v>46300.71527777778</v>
      </c>
      <c r="C5" s="2" t="n">
        <v>434</v>
      </c>
      <c r="D5" s="2" t="n">
        <v>1</v>
      </c>
      <c r="E5" s="2" t="n">
        <v>0</v>
      </c>
      <c r="F5" s="2" t="n">
        <v>0</v>
      </c>
      <c r="G5" s="2" t="n">
        <v>191.4</v>
      </c>
    </row>
    <row r="6">
      <c r="A6" s="7" t="n">
        <v>46300.42120295139</v>
      </c>
      <c r="B6" s="7" t="n">
        <v>46300.42013888889</v>
      </c>
      <c r="C6" s="2" t="n">
        <v>435</v>
      </c>
      <c r="D6" s="2" t="n">
        <v>0</v>
      </c>
      <c r="E6" s="2" t="n">
        <v>1</v>
      </c>
      <c r="F6" s="2" t="n">
        <v>0</v>
      </c>
      <c r="G6" s="2" t="n">
        <v>186</v>
      </c>
    </row>
    <row r="7">
      <c r="A7" s="7" t="n">
        <v>46300.30229967592</v>
      </c>
      <c r="B7" s="7" t="n">
        <v>46300.30138888889</v>
      </c>
      <c r="C7" s="2" t="n">
        <v>435</v>
      </c>
      <c r="D7" s="2" t="n">
        <v>1</v>
      </c>
      <c r="E7" s="2" t="n">
        <v>1</v>
      </c>
      <c r="F7" s="2" t="n">
        <v>0</v>
      </c>
      <c r="G7" s="2" t="n">
        <v>186.7</v>
      </c>
    </row>
    <row r="8">
      <c r="A8" s="7" t="n">
        <v>46300.1536875926</v>
      </c>
      <c r="B8" s="7" t="n">
        <v>46300.15277777778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46299.97588962963</v>
      </c>
      <c r="B9" s="7" t="n">
        <v>46299.975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191.9</v>
      </c>
    </row>
    <row r="10">
      <c r="A10" s="7" t="n">
        <v>46299.90213123843</v>
      </c>
      <c r="B10" s="7" t="n">
        <v>46299.90138888889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188.2</v>
      </c>
    </row>
    <row r="11">
      <c r="A11" s="7" t="n">
        <v>46299.74574608796</v>
      </c>
      <c r="B11" s="7" t="n">
        <v>46299.74444444444</v>
      </c>
      <c r="C11" s="2" t="n">
        <v>435</v>
      </c>
      <c r="D11" s="2" t="n">
        <v>2</v>
      </c>
      <c r="E11" s="2" t="n">
        <v>1</v>
      </c>
      <c r="F11" s="2" t="n">
        <v>1</v>
      </c>
      <c r="G11" s="2" t="n">
        <v>187.4</v>
      </c>
    </row>
    <row r="12">
      <c r="A12" s="7" t="n">
        <v>46299.48719824074</v>
      </c>
      <c r="B12" s="7" t="n">
        <v>46299.48611111111</v>
      </c>
      <c r="C12" s="2" t="n">
        <v>435</v>
      </c>
      <c r="D12" s="2" t="n">
        <v>0</v>
      </c>
      <c r="E12" s="2" t="n">
        <v>1</v>
      </c>
      <c r="F12" s="2" t="n">
        <v>1</v>
      </c>
      <c r="G12" s="2" t="n">
        <v>184.7</v>
      </c>
    </row>
    <row r="13">
      <c r="A13" s="7" t="n">
        <v>46299.44683753472</v>
      </c>
      <c r="B13" s="7" t="n">
        <v>46299.44583333333</v>
      </c>
      <c r="C13" s="2" t="n">
        <v>435</v>
      </c>
      <c r="D13" s="2" t="n">
        <v>1</v>
      </c>
      <c r="E13" s="2" t="n">
        <v>1</v>
      </c>
      <c r="F13" s="2" t="n">
        <v>1</v>
      </c>
      <c r="G13" s="2" t="n">
        <v>189.6</v>
      </c>
    </row>
    <row r="14">
      <c r="A14" s="7" t="n">
        <v>46299.29732329861</v>
      </c>
      <c r="B14" s="7" t="n">
        <v>46299.29652777778</v>
      </c>
      <c r="C14" s="2" t="n">
        <v>435</v>
      </c>
      <c r="D14" s="2" t="n">
        <v>1</v>
      </c>
      <c r="E14" s="2" t="n">
        <v>1</v>
      </c>
      <c r="F14" s="2" t="n">
        <v>1</v>
      </c>
      <c r="G14" s="2" t="n">
        <v>186.6</v>
      </c>
    </row>
    <row r="15">
      <c r="A15" s="7" t="n">
        <v>46299.16534118055</v>
      </c>
      <c r="B15" s="7" t="n">
        <v>46299.16458333333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160.2</v>
      </c>
    </row>
    <row r="16">
      <c r="A16" s="7" t="n">
        <v>46299.01924309028</v>
      </c>
      <c r="B16" s="7" t="n">
        <v>46299.01805555556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194</v>
      </c>
    </row>
    <row r="17">
      <c r="A17" s="7" t="n">
        <v>46298.82413289352</v>
      </c>
      <c r="B17" s="7" t="n">
        <v>46298.82291666666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46298.64104893518</v>
      </c>
      <c r="B18" s="7" t="n">
        <v>46298.64027777778</v>
      </c>
      <c r="C18" s="2" t="n">
        <v>435</v>
      </c>
      <c r="D18" s="2" t="n">
        <v>1</v>
      </c>
      <c r="E18" s="2" t="n">
        <v>0</v>
      </c>
      <c r="F18" s="2" t="n">
        <v>1</v>
      </c>
      <c r="G18" s="2" t="n">
        <v>180.1</v>
      </c>
    </row>
    <row r="19">
      <c r="A19" s="7" t="n">
        <v>46298.55905060185</v>
      </c>
      <c r="B19" s="7" t="n">
        <v>46298.55833333333</v>
      </c>
      <c r="C19" s="2" t="n">
        <v>435</v>
      </c>
      <c r="D19" s="2" t="n">
        <v>2</v>
      </c>
      <c r="E19" s="2" t="n">
        <v>2</v>
      </c>
      <c r="F19" s="2" t="n">
        <v>1</v>
      </c>
      <c r="G19" s="2" t="n">
        <v>159.7</v>
      </c>
    </row>
    <row r="20">
      <c r="A20" s="7" t="n">
        <v>46298.32651334491</v>
      </c>
      <c r="B20" s="7" t="n">
        <v>46298.32569444444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189.1</v>
      </c>
    </row>
    <row r="21">
      <c r="A21" s="7" t="n">
        <v>46298.14088650463</v>
      </c>
      <c r="B21" s="7" t="n">
        <v>46298.13958333333</v>
      </c>
      <c r="C21" s="2" t="n">
        <v>435</v>
      </c>
      <c r="D21" s="2" t="n">
        <v>1</v>
      </c>
      <c r="E21" s="2" t="n">
        <v>2</v>
      </c>
      <c r="F21" s="2" t="n">
        <v>2</v>
      </c>
      <c r="G21" s="2" t="n">
        <v>195.5</v>
      </c>
    </row>
    <row r="22">
      <c r="A22" s="7" t="n">
        <v>46298.00826386574</v>
      </c>
      <c r="B22" s="7" t="n">
        <v>46298.00694444445</v>
      </c>
      <c r="C22" s="2" t="n">
        <v>435</v>
      </c>
      <c r="D22" s="2" t="n">
        <v>2</v>
      </c>
      <c r="E22" s="2" t="n">
        <v>1</v>
      </c>
      <c r="F22" s="2" t="n">
        <v>2</v>
      </c>
      <c r="G22" s="2" t="n">
        <v>190.7</v>
      </c>
    </row>
    <row r="23">
      <c r="A23" s="7" t="n">
        <v>46297.91349550926</v>
      </c>
      <c r="B23" s="7" t="n">
        <v>46297.9125</v>
      </c>
      <c r="C23" s="2" t="n">
        <v>435</v>
      </c>
      <c r="D23" s="2" t="n">
        <v>0</v>
      </c>
      <c r="E23" s="2" t="n">
        <v>1</v>
      </c>
      <c r="F23" s="2" t="n">
        <v>3</v>
      </c>
      <c r="G23" s="2" t="n">
        <v>179.2</v>
      </c>
    </row>
    <row r="24">
      <c r="A24" s="7" t="n">
        <v>46297.90064986111</v>
      </c>
      <c r="B24" s="7" t="n">
        <v>46297.89930555555</v>
      </c>
      <c r="C24" s="2" t="n">
        <v>435</v>
      </c>
      <c r="D24" s="2" t="n">
        <v>1</v>
      </c>
      <c r="E24" s="2" t="n">
        <v>0</v>
      </c>
      <c r="F24" s="2" t="n">
        <v>3</v>
      </c>
      <c r="G24" s="2" t="n">
        <v>180.1</v>
      </c>
    </row>
    <row r="25">
      <c r="A25" s="7" t="n">
        <v>46297.75623421296</v>
      </c>
      <c r="B25" s="7" t="n">
        <v>46297.75486111111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199.1</v>
      </c>
    </row>
    <row r="26">
      <c r="A26" s="7" t="n">
        <v>46297.70907445602</v>
      </c>
      <c r="B26" s="7" t="n">
        <v>46297.70833333334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148.2</v>
      </c>
    </row>
    <row r="27">
      <c r="A27" s="7" t="n">
        <v>46297.62748648148</v>
      </c>
      <c r="B27" s="7" t="n">
        <v>46297.62638888889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188.8</v>
      </c>
    </row>
    <row r="28">
      <c r="A28" s="7" t="n">
        <v>46297.59146636574</v>
      </c>
      <c r="B28" s="7" t="n">
        <v>46297.59027777778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188.7</v>
      </c>
    </row>
    <row r="29">
      <c r="A29" s="7" t="n">
        <v>46297.47377153935</v>
      </c>
      <c r="B29" s="7" t="n">
        <v>46297.47291666667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159.9</v>
      </c>
    </row>
    <row r="30">
      <c r="A30" s="7" t="n">
        <v>46297.43863659722</v>
      </c>
      <c r="B30" s="7" t="n">
        <v>46297.4375</v>
      </c>
      <c r="C30" s="2" t="n">
        <v>435</v>
      </c>
      <c r="D30" s="2" t="n">
        <v>1</v>
      </c>
      <c r="E30" s="2" t="n">
        <v>1</v>
      </c>
      <c r="F30" s="2" t="n">
        <v>4</v>
      </c>
      <c r="G30" s="2" t="n">
        <v>181.3</v>
      </c>
    </row>
    <row r="31">
      <c r="A31" s="7" t="n">
        <v>46297.36902693287</v>
      </c>
      <c r="B31" s="7" t="n">
        <v>46297.36805555555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191.7</v>
      </c>
    </row>
    <row r="32">
      <c r="A32" s="7" t="n">
        <v>46297.34984872685</v>
      </c>
      <c r="B32" s="7" t="n">
        <v>46297.34861111111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185.3</v>
      </c>
    </row>
    <row r="33">
      <c r="A33" s="7" t="n">
        <v>46297.18230064815</v>
      </c>
      <c r="B33" s="7" t="n">
        <v>46297.18125</v>
      </c>
      <c r="C33" s="2" t="n">
        <v>434</v>
      </c>
      <c r="D33" s="2" t="n">
        <v>2</v>
      </c>
      <c r="E33" s="2" t="n">
        <v>2</v>
      </c>
      <c r="F33" s="2" t="n">
        <v>1</v>
      </c>
      <c r="G33" s="2" t="n">
        <v>159.5</v>
      </c>
    </row>
    <row r="34">
      <c r="A34" s="7" t="n">
        <v>46297.01546863426</v>
      </c>
      <c r="B34" s="7" t="n">
        <v>46297.01458333333</v>
      </c>
      <c r="C34" s="2" t="n">
        <v>434</v>
      </c>
      <c r="D34" s="2" t="n">
        <v>1</v>
      </c>
      <c r="E34" s="2" t="n">
        <v>1</v>
      </c>
      <c r="F34" s="2" t="n">
        <v>2</v>
      </c>
      <c r="G34" s="2" t="n">
        <v>179.4</v>
      </c>
    </row>
    <row r="35">
      <c r="A35" s="7" t="n">
        <v>46296.99918069445</v>
      </c>
      <c r="B35" s="7" t="n">
        <v>46296.99791666667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167.2</v>
      </c>
    </row>
    <row r="36">
      <c r="A36" s="7" t="n">
        <v>46296.94003458333</v>
      </c>
      <c r="B36" s="7" t="n">
        <v>46296.93888888889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189.5</v>
      </c>
    </row>
    <row r="37">
      <c r="A37" s="7" t="n">
        <v>46296.7419153125</v>
      </c>
      <c r="B37" s="7" t="n">
        <v>46296.74097222222</v>
      </c>
      <c r="C37" s="2" t="n">
        <v>434</v>
      </c>
      <c r="D37" s="2" t="n">
        <v>1</v>
      </c>
      <c r="E37" s="2" t="n">
        <v>1</v>
      </c>
      <c r="F37" s="2" t="n">
        <v>2</v>
      </c>
      <c r="G37" s="2" t="n">
        <v>150</v>
      </c>
    </row>
    <row r="38">
      <c r="A38" s="7" t="n">
        <v>46296.63539230324</v>
      </c>
      <c r="B38" s="7" t="n">
        <v>46296.63402777778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195</v>
      </c>
    </row>
    <row r="39">
      <c r="A39" s="7" t="n">
        <v>46296.6196469213</v>
      </c>
      <c r="B39" s="7" t="n">
        <v>46296.61875</v>
      </c>
      <c r="C39" s="2" t="n">
        <v>434</v>
      </c>
      <c r="D39" s="2" t="n">
        <v>1</v>
      </c>
      <c r="E39" s="2" t="n">
        <v>1</v>
      </c>
      <c r="F39" s="2" t="n">
        <v>2</v>
      </c>
      <c r="G39" s="2" t="n">
        <v>190.6</v>
      </c>
    </row>
    <row r="40">
      <c r="A40" s="7" t="n">
        <v>46296.55481784722</v>
      </c>
      <c r="B40" s="7" t="n">
        <v>46296.55347222222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189.9</v>
      </c>
    </row>
    <row r="41">
      <c r="A41" s="7" t="n">
        <v>46296.49238505787</v>
      </c>
      <c r="B41" s="7" t="n">
        <v>46296.49166666667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189.7</v>
      </c>
    </row>
    <row r="42">
      <c r="A42" s="7" t="n">
        <v>46296.35809899306</v>
      </c>
      <c r="B42" s="7" t="n">
        <v>46296.35694444444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152.4</v>
      </c>
    </row>
    <row r="43">
      <c r="A43" s="7" t="n">
        <v>46296.20216918981</v>
      </c>
      <c r="B43" s="7" t="n">
        <v>46296.20138888889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180</v>
      </c>
    </row>
    <row r="44">
      <c r="A44" s="7" t="n">
        <v>46295.99840958334</v>
      </c>
      <c r="B44" s="7" t="n">
        <v>46295.99722222222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187.6</v>
      </c>
    </row>
    <row r="45">
      <c r="A45" s="7" t="n">
        <v>46295.94423819445</v>
      </c>
      <c r="B45" s="7" t="n">
        <v>46295.94305555556</v>
      </c>
      <c r="C45" s="2" t="n">
        <v>434</v>
      </c>
      <c r="D45" s="2" t="n">
        <v>0</v>
      </c>
      <c r="E45" s="2" t="n">
        <v>1</v>
      </c>
      <c r="F45" s="2" t="n">
        <v>3</v>
      </c>
      <c r="G45" s="2" t="n">
        <v>150.7</v>
      </c>
    </row>
    <row r="46">
      <c r="A46" s="7" t="n">
        <v>46295.91675143519</v>
      </c>
      <c r="B46" s="7" t="n">
        <v>46295.91597222222</v>
      </c>
      <c r="C46" s="2" t="n">
        <v>434</v>
      </c>
      <c r="D46" s="2" t="n">
        <v>1</v>
      </c>
      <c r="E46" s="2" t="n">
        <v>2</v>
      </c>
      <c r="F46" s="2" t="n">
        <v>3</v>
      </c>
      <c r="G46" s="2" t="n">
        <v>189.9</v>
      </c>
    </row>
    <row r="47">
      <c r="A47" s="7" t="n">
        <v>46295.87897131944</v>
      </c>
      <c r="B47" s="7" t="n">
        <v>46295.87777777778</v>
      </c>
      <c r="C47" s="2" t="n">
        <v>434</v>
      </c>
      <c r="D47" s="2" t="n">
        <v>1</v>
      </c>
      <c r="E47" s="2" t="n">
        <v>0</v>
      </c>
      <c r="F47" s="2" t="n">
        <v>3</v>
      </c>
      <c r="G47" s="2" t="n">
        <v>187.8</v>
      </c>
    </row>
    <row r="48">
      <c r="A48" s="7" t="n">
        <v>46295.84232043981</v>
      </c>
      <c r="B48" s="7" t="n">
        <v>46295.84097222222</v>
      </c>
      <c r="C48" s="2" t="n">
        <v>434</v>
      </c>
      <c r="D48" s="2" t="n">
        <v>1</v>
      </c>
      <c r="E48" s="2" t="n">
        <v>0</v>
      </c>
      <c r="F48" s="2" t="n">
        <v>3</v>
      </c>
      <c r="G48" s="2" t="n">
        <v>147.8</v>
      </c>
    </row>
    <row r="49">
      <c r="A49" s="7" t="n">
        <v>46295.76311292824</v>
      </c>
      <c r="B49" s="7" t="n">
        <v>46295.76180555556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188</v>
      </c>
    </row>
    <row r="50">
      <c r="A50" s="7" t="n">
        <v>46295.71942712963</v>
      </c>
      <c r="B50" s="7" t="n">
        <v>46295.71805555555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163.9</v>
      </c>
    </row>
    <row r="51">
      <c r="A51" s="7" t="n">
        <v>46295.69435030092</v>
      </c>
      <c r="B51" s="7" t="n">
        <v>46295.69305555556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141.1</v>
      </c>
    </row>
    <row r="52">
      <c r="A52" s="7" t="n">
        <v>46295.5782999537</v>
      </c>
      <c r="B52" s="7" t="n">
        <v>46295.57708333333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191.3</v>
      </c>
    </row>
    <row r="53">
      <c r="A53" s="7" t="n">
        <v>46295.51228863426</v>
      </c>
      <c r="B53" s="7" t="n">
        <v>46295.51111111111</v>
      </c>
      <c r="C53" s="2" t="n">
        <v>434</v>
      </c>
      <c r="D53" s="2" t="n">
        <v>1</v>
      </c>
      <c r="E53" s="2" t="n">
        <v>2</v>
      </c>
      <c r="F53" s="2" t="n">
        <v>5</v>
      </c>
      <c r="G53" s="2" t="n">
        <v>188.8</v>
      </c>
    </row>
    <row r="54">
      <c r="A54" s="7" t="n">
        <v>46295.44308225694</v>
      </c>
      <c r="B54" s="7" t="n">
        <v>46295.44236111111</v>
      </c>
      <c r="C54" s="2" t="n">
        <v>433</v>
      </c>
      <c r="D54" s="2" t="n">
        <v>0</v>
      </c>
      <c r="E54" s="2" t="n">
        <v>1</v>
      </c>
      <c r="F54" s="2" t="n">
        <v>2</v>
      </c>
      <c r="G54" s="2" t="n">
        <v>167.1</v>
      </c>
    </row>
    <row r="55">
      <c r="A55" s="7" t="n">
        <v>46295.42368403935</v>
      </c>
      <c r="B55" s="7" t="n">
        <v>46295.42291666667</v>
      </c>
      <c r="C55" s="2" t="n">
        <v>433</v>
      </c>
      <c r="D55" s="2" t="n">
        <v>2</v>
      </c>
      <c r="E55" s="2" t="n">
        <v>0</v>
      </c>
      <c r="F55" s="2" t="n">
        <v>2</v>
      </c>
      <c r="G55" s="2" t="n">
        <v>150.9</v>
      </c>
    </row>
    <row r="56">
      <c r="A56" s="7" t="n">
        <v>46295.29174006944</v>
      </c>
      <c r="B56" s="7" t="n">
        <v>46295.29097222222</v>
      </c>
      <c r="C56" s="2" t="n">
        <v>433</v>
      </c>
      <c r="D56" s="2" t="n">
        <v>1</v>
      </c>
      <c r="E56" s="2" t="n">
        <v>2</v>
      </c>
      <c r="F56" s="2" t="n">
        <v>2</v>
      </c>
      <c r="G56" s="2" t="n">
        <v>191.4</v>
      </c>
    </row>
    <row r="57">
      <c r="A57" s="7" t="n">
        <v>46295.11156024306</v>
      </c>
      <c r="B57" s="7" t="n">
        <v>46295.11041666667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185.8</v>
      </c>
    </row>
    <row r="58">
      <c r="A58" s="7" t="n">
        <v>46294.99800613426</v>
      </c>
      <c r="B58" s="7" t="n">
        <v>46294.99722222222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153.7</v>
      </c>
    </row>
    <row r="59">
      <c r="A59" s="7" t="n">
        <v>46294.95333178241</v>
      </c>
      <c r="B59" s="7" t="n">
        <v>46294.95208333333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177.4</v>
      </c>
    </row>
    <row r="60">
      <c r="A60" s="7" t="n">
        <v>46294.87612561342</v>
      </c>
      <c r="B60" s="7" t="n">
        <v>46294.875</v>
      </c>
      <c r="C60" s="2" t="n">
        <v>433</v>
      </c>
      <c r="D60" s="2" t="n">
        <v>1</v>
      </c>
      <c r="E60" s="2" t="n">
        <v>0</v>
      </c>
      <c r="F60" s="2" t="n">
        <v>2</v>
      </c>
      <c r="G60" s="2" t="n">
        <v>196.6</v>
      </c>
    </row>
    <row r="61">
      <c r="A61" s="7" t="n">
        <v>46294.76526767361</v>
      </c>
      <c r="B61" s="7" t="n">
        <v>46294.76388888889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182.5</v>
      </c>
    </row>
    <row r="62">
      <c r="A62" s="7" t="n">
        <v>46294.66075324074</v>
      </c>
      <c r="B62" s="7" t="n">
        <v>46294.65972222222</v>
      </c>
      <c r="C62" s="2" t="n">
        <v>433</v>
      </c>
      <c r="D62" s="2" t="n">
        <v>0</v>
      </c>
      <c r="E62" s="2" t="n">
        <v>0</v>
      </c>
      <c r="F62" s="2" t="n">
        <v>3</v>
      </c>
      <c r="G62" s="2" t="n">
        <v>174</v>
      </c>
    </row>
    <row r="63">
      <c r="A63" s="7" t="n">
        <v>46294.57647584491</v>
      </c>
      <c r="B63" s="7" t="n">
        <v>46294.57569444444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147.5</v>
      </c>
    </row>
    <row r="64">
      <c r="A64" s="7" t="n">
        <v>46294.46163141204</v>
      </c>
      <c r="B64" s="7" t="n">
        <v>46294.46041666667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193.3</v>
      </c>
    </row>
    <row r="65">
      <c r="A65" s="7" t="n">
        <v>46294.30606211806</v>
      </c>
      <c r="B65" s="7" t="n">
        <v>46294.30486111111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165.6</v>
      </c>
    </row>
    <row r="66">
      <c r="A66" s="7" t="n">
        <v>46294.07080519676</v>
      </c>
      <c r="B66" s="7" t="n">
        <v>46294.06944444445</v>
      </c>
      <c r="C66" s="2" t="n">
        <v>432</v>
      </c>
      <c r="D66" s="2" t="n">
        <v>1</v>
      </c>
      <c r="E66" s="2" t="n">
        <v>0</v>
      </c>
      <c r="F66" s="2" t="n">
        <v>0</v>
      </c>
      <c r="G66" s="2" t="n">
        <v>193.3</v>
      </c>
    </row>
    <row r="67">
      <c r="A67" s="7" t="n">
        <v>46293.99403509259</v>
      </c>
      <c r="B67" s="7" t="n">
        <v>46293.99305555555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153.6</v>
      </c>
    </row>
    <row r="68">
      <c r="A68" s="7" t="n">
        <v>46293.9460828588</v>
      </c>
      <c r="B68" s="7" t="n">
        <v>46293.94513888889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197.9</v>
      </c>
    </row>
    <row r="69">
      <c r="A69" s="7" t="n">
        <v>46293.85933717593</v>
      </c>
      <c r="B69" s="7" t="n">
        <v>46293.85833333333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185</v>
      </c>
    </row>
    <row r="70">
      <c r="A70" s="7" t="n">
        <v>46293.69837709491</v>
      </c>
      <c r="B70" s="7" t="n">
        <v>46293.69722222222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144.9</v>
      </c>
    </row>
    <row r="71">
      <c r="A71" s="7" t="n">
        <v>46293.67139270833</v>
      </c>
      <c r="B71" s="7" t="n">
        <v>46293.67013888889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186.3</v>
      </c>
    </row>
    <row r="72">
      <c r="A72" s="7" t="n">
        <v>46293.54465268519</v>
      </c>
      <c r="B72" s="7" t="n">
        <v>46293.54375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150</v>
      </c>
    </row>
    <row r="73">
      <c r="A73" s="7" t="n">
        <v>46293.46449744213</v>
      </c>
      <c r="B73" s="7" t="n">
        <v>46293.46319444444</v>
      </c>
      <c r="C73" s="2" t="n">
        <v>432</v>
      </c>
      <c r="D73" s="2" t="n">
        <v>2</v>
      </c>
      <c r="E73" s="2" t="n">
        <v>2</v>
      </c>
      <c r="F73" s="2" t="n">
        <v>0</v>
      </c>
      <c r="G73" s="2" t="n">
        <v>193.4</v>
      </c>
    </row>
    <row r="74">
      <c r="A74" s="7" t="n">
        <v>46293.40532865741</v>
      </c>
      <c r="B74" s="7" t="n">
        <v>46293.40416666667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194.7</v>
      </c>
    </row>
    <row r="75">
      <c r="A75" s="7" t="n">
        <v>46293.26205886574</v>
      </c>
      <c r="B75" s="7" t="n">
        <v>46293.26111111111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178</v>
      </c>
    </row>
    <row r="76">
      <c r="A76" s="7" t="n">
        <v>46293.12570534722</v>
      </c>
      <c r="B76" s="7" t="n">
        <v>46293.125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193.1</v>
      </c>
    </row>
    <row r="77">
      <c r="A77" s="7" t="n">
        <v>46293.08172232639</v>
      </c>
      <c r="B77" s="7" t="n">
        <v>46293.08055555556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148.9</v>
      </c>
    </row>
    <row r="78">
      <c r="A78" s="7" t="n">
        <v>46292.9814453588</v>
      </c>
      <c r="B78" s="7" t="n">
        <v>46292.98055555556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186</v>
      </c>
    </row>
    <row r="79">
      <c r="A79" s="7" t="n">
        <v>46292.9472603125</v>
      </c>
      <c r="B79" s="7" t="n">
        <v>46292.94652777778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192.1</v>
      </c>
    </row>
    <row r="80">
      <c r="A80" s="7" t="n">
        <v>46292.919814375</v>
      </c>
      <c r="B80" s="7" t="n">
        <v>46292.91875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192.5</v>
      </c>
    </row>
    <row r="81">
      <c r="A81" s="7" t="n">
        <v>46292.81065981482</v>
      </c>
      <c r="B81" s="7" t="n">
        <v>46292.80972222222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177.2</v>
      </c>
    </row>
    <row r="82">
      <c r="A82" s="7" t="n">
        <v>46292.73704342593</v>
      </c>
      <c r="B82" s="7" t="n">
        <v>46292.73611111111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147.3</v>
      </c>
    </row>
    <row r="83">
      <c r="A83" s="7" t="n">
        <v>46292.67926077546</v>
      </c>
      <c r="B83" s="7" t="n">
        <v>46292.67847222222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197.6</v>
      </c>
    </row>
    <row r="84">
      <c r="A84" s="7" t="n">
        <v>46292.6274472338</v>
      </c>
      <c r="B84" s="7" t="n">
        <v>46292.62638888889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192.4</v>
      </c>
    </row>
    <row r="85">
      <c r="A85" s="7" t="n">
        <v>46292.50599667824</v>
      </c>
      <c r="B85" s="7" t="n">
        <v>46292.50486111111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191.3</v>
      </c>
    </row>
    <row r="86">
      <c r="A86" s="7" t="n">
        <v>46292.39740747685</v>
      </c>
      <c r="B86" s="7" t="n">
        <v>46292.39652777778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150.9</v>
      </c>
    </row>
    <row r="87">
      <c r="A87" s="7" t="n">
        <v>46292.28951247685</v>
      </c>
      <c r="B87" s="7" t="n">
        <v>46292.28819444445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163.9</v>
      </c>
    </row>
    <row r="88">
      <c r="A88" s="7" t="n">
        <v>46292.28563091435</v>
      </c>
      <c r="B88" s="7" t="n">
        <v>46292.28472222222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186.1</v>
      </c>
    </row>
    <row r="89">
      <c r="A89" s="7" t="n">
        <v>46292.16453692129</v>
      </c>
      <c r="B89" s="7" t="n">
        <v>46292.16319444445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183.8</v>
      </c>
    </row>
    <row r="90">
      <c r="A90" s="7" t="n">
        <v>46292.05207142361</v>
      </c>
      <c r="B90" s="7" t="n">
        <v>46292.05069444444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160.8</v>
      </c>
    </row>
    <row r="91">
      <c r="A91" s="7" t="n">
        <v>46291.98017201389</v>
      </c>
      <c r="B91" s="7" t="n">
        <v>46291.97916666666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148.2</v>
      </c>
    </row>
    <row r="92">
      <c r="A92" s="7" t="n">
        <v>46291.93749069444</v>
      </c>
      <c r="B92" s="7" t="n">
        <v>46291.93611111111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163.1</v>
      </c>
    </row>
    <row r="93">
      <c r="A93" s="7" t="n">
        <v>46291.88266193287</v>
      </c>
      <c r="B93" s="7" t="n">
        <v>46291.88194444445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46291.83751681713</v>
      </c>
      <c r="B94" s="7" t="n">
        <v>46291.83680555555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186.6</v>
      </c>
    </row>
    <row r="95">
      <c r="A95" s="7" t="n">
        <v>46291.78589450232</v>
      </c>
      <c r="B95" s="7" t="n">
        <v>46291.78472222222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157.8</v>
      </c>
    </row>
    <row r="96">
      <c r="A96" s="7" t="n">
        <v>46291.65882908565</v>
      </c>
      <c r="B96" s="7" t="n">
        <v>46291.65763888889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175.7</v>
      </c>
    </row>
    <row r="97">
      <c r="A97" s="7" t="n">
        <v>46291.63896155093</v>
      </c>
      <c r="B97" s="7" t="n">
        <v>46291.63819444444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177.9</v>
      </c>
    </row>
    <row r="98">
      <c r="A98" s="7" t="n">
        <v>46291.63155474537</v>
      </c>
      <c r="B98" s="7" t="n">
        <v>46291.63055555556</v>
      </c>
      <c r="C98" s="2" t="n">
        <v>433</v>
      </c>
      <c r="D98" s="2" t="n">
        <v>2</v>
      </c>
      <c r="E98" s="2" t="n">
        <v>1</v>
      </c>
      <c r="F98" s="2" t="n">
        <v>0</v>
      </c>
      <c r="G98" s="2" t="n">
        <v>172.6</v>
      </c>
    </row>
    <row r="99">
      <c r="A99" s="7" t="n">
        <v>46291.58748165509</v>
      </c>
      <c r="B99" s="7" t="n">
        <v>46291.58611111111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</v>
      </c>
    </row>
    <row r="100">
      <c r="A100" s="7" t="n">
        <v>46291.52177836806</v>
      </c>
      <c r="B100" s="7" t="n">
        <v>46291.52083333334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187.5</v>
      </c>
    </row>
    <row r="101">
      <c r="A101" s="7" t="n">
        <v>46291.40186751157</v>
      </c>
      <c r="B101" s="7" t="n">
        <v>46291.40069444444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188.1</v>
      </c>
    </row>
    <row r="102">
      <c r="A102" s="7" t="n">
        <v>46291.36540915509</v>
      </c>
      <c r="B102" s="7" t="n">
        <v>46291.36458333334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163.5</v>
      </c>
    </row>
    <row r="103">
      <c r="A103" s="7" t="n">
        <v>46291.26887001158</v>
      </c>
      <c r="B103" s="7" t="n">
        <v>46291.26805555556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184.5</v>
      </c>
    </row>
    <row r="104">
      <c r="A104" s="7" t="n">
        <v>46291.2560487963</v>
      </c>
      <c r="B104" s="7" t="n">
        <v>46291.25486111111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191.6</v>
      </c>
    </row>
    <row r="105">
      <c r="A105" s="7" t="n">
        <v>46291.11246790509</v>
      </c>
      <c r="B105" s="7" t="n">
        <v>46291.11111111111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182.3</v>
      </c>
    </row>
    <row r="106">
      <c r="A106" s="7" t="n">
        <v>46291.02308788194</v>
      </c>
      <c r="B106" s="7" t="n">
        <v>46291.02222222222</v>
      </c>
      <c r="C106" s="2" t="n">
        <v>433</v>
      </c>
      <c r="D106" s="2" t="n">
        <v>2</v>
      </c>
      <c r="E106" s="2" t="n">
        <v>2</v>
      </c>
      <c r="F106" s="2" t="n">
        <v>0</v>
      </c>
      <c r="G106" s="2" t="n">
        <v>140.5</v>
      </c>
    </row>
    <row r="107">
      <c r="A107" s="7" t="n">
        <v>46290.9990443287</v>
      </c>
      <c r="B107" s="7" t="n">
        <v>46290.99791666667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197.5</v>
      </c>
    </row>
    <row r="108">
      <c r="A108" s="7" t="n">
        <v>46290.91267655093</v>
      </c>
      <c r="B108" s="7" t="n">
        <v>46290.91180555556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193.4</v>
      </c>
    </row>
    <row r="109">
      <c r="A109" s="7" t="n">
        <v>46290.82088560185</v>
      </c>
      <c r="B109" s="7" t="n">
        <v>46290.82013888889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174.9</v>
      </c>
    </row>
    <row r="110">
      <c r="A110" s="7" t="n">
        <v>46290.76820827546</v>
      </c>
      <c r="B110" s="7" t="n">
        <v>46290.76736111111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187</v>
      </c>
    </row>
    <row r="111">
      <c r="A111" s="7" t="n">
        <v>46290.709303125</v>
      </c>
      <c r="B111" s="7" t="n">
        <v>46290.70833333334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187.6</v>
      </c>
    </row>
    <row r="112">
      <c r="A112" s="7" t="n">
        <v>46290.66382769676</v>
      </c>
      <c r="B112" s="7" t="n">
        <v>46290.6625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185.1</v>
      </c>
    </row>
    <row r="113">
      <c r="A113" s="7" t="n">
        <v>46290.61757802084</v>
      </c>
      <c r="B113" s="7" t="n">
        <v>46290.61666666667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178.9</v>
      </c>
    </row>
    <row r="114">
      <c r="A114" s="7" t="n">
        <v>46290.55632820602</v>
      </c>
      <c r="B114" s="7" t="n">
        <v>46290.55555555555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179.4</v>
      </c>
    </row>
    <row r="115">
      <c r="A115" s="7" t="n">
        <v>46290.50409561343</v>
      </c>
      <c r="B115" s="7" t="n">
        <v>46290.50277777778</v>
      </c>
      <c r="C115" s="2" t="n">
        <v>433</v>
      </c>
      <c r="D115" s="2" t="n">
        <v>1</v>
      </c>
      <c r="E115" s="2" t="n">
        <v>2</v>
      </c>
      <c r="F115" s="2" t="n">
        <v>0</v>
      </c>
      <c r="G115" s="2" t="n">
        <v>174.5</v>
      </c>
    </row>
    <row r="116">
      <c r="A116" s="7" t="n">
        <v>46290.39966920139</v>
      </c>
      <c r="B116" s="7" t="n">
        <v>46290.39861111111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189.8</v>
      </c>
    </row>
    <row r="117">
      <c r="A117" s="7" t="n">
        <v>46290.3483633912</v>
      </c>
      <c r="B117" s="7" t="n">
        <v>46290.34722222222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163.4</v>
      </c>
    </row>
    <row r="118">
      <c r="A118" s="7" t="n">
        <v>46290.27195019676</v>
      </c>
      <c r="B118" s="7" t="n">
        <v>46290.27083333334</v>
      </c>
      <c r="C118" s="2" t="n">
        <v>433</v>
      </c>
      <c r="D118" s="2" t="n">
        <v>0</v>
      </c>
      <c r="E118" s="2" t="n">
        <v>1</v>
      </c>
      <c r="F118" s="2" t="n">
        <v>1</v>
      </c>
      <c r="G118" s="2" t="n">
        <v>182.9</v>
      </c>
    </row>
    <row r="119">
      <c r="A119" s="7" t="n">
        <v>46290.13587655093</v>
      </c>
      <c r="B119" s="7" t="n">
        <v>46290.13472222222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191.6</v>
      </c>
    </row>
    <row r="120">
      <c r="A120" s="7" t="n">
        <v>46290.02908936342</v>
      </c>
      <c r="B120" s="7" t="n">
        <v>46290.02777777778</v>
      </c>
      <c r="C120" s="2" t="n">
        <v>433</v>
      </c>
      <c r="D120" s="2" t="n">
        <v>2</v>
      </c>
      <c r="E120" s="2" t="n">
        <v>2</v>
      </c>
      <c r="F120" s="2" t="n">
        <v>1</v>
      </c>
      <c r="G120" s="2" t="n">
        <v>166.2</v>
      </c>
    </row>
    <row r="121">
      <c r="A121" s="7" t="n">
        <v>46289.96715996528</v>
      </c>
      <c r="B121" s="7" t="n">
        <v>46289.96597222222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190.1</v>
      </c>
    </row>
    <row r="122">
      <c r="A122" s="7" t="n">
        <v>46289.95004011574</v>
      </c>
      <c r="B122" s="7" t="n">
        <v>46289.94930555556</v>
      </c>
      <c r="C122" s="2" t="n">
        <v>433</v>
      </c>
      <c r="D122" s="2" t="n">
        <v>1</v>
      </c>
      <c r="E122" s="2" t="n">
        <v>0</v>
      </c>
      <c r="F122" s="2" t="n">
        <v>1</v>
      </c>
      <c r="G122" s="2" t="n">
        <v>178.4</v>
      </c>
    </row>
    <row r="123">
      <c r="A123" s="7" t="n">
        <v>46289.94135959491</v>
      </c>
      <c r="B123" s="7" t="n">
        <v>46289.94027777778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183.8</v>
      </c>
    </row>
    <row r="124">
      <c r="A124" s="7" t="n">
        <v>46289.92565313658</v>
      </c>
      <c r="B124" s="7" t="n">
        <v>46289.92430555556</v>
      </c>
      <c r="C124" s="2" t="n">
        <v>433</v>
      </c>
      <c r="D124" s="2" t="n">
        <v>4</v>
      </c>
      <c r="E124" s="2" t="n">
        <v>3</v>
      </c>
      <c r="F124" s="2" t="n">
        <v>1</v>
      </c>
      <c r="G124" s="2" t="n">
        <v>226.2</v>
      </c>
    </row>
    <row r="125">
      <c r="A125" s="7" t="n">
        <v>46289.84896370371</v>
      </c>
      <c r="B125" s="7" t="n">
        <v>46289.84791666667</v>
      </c>
      <c r="C125" s="2" t="n">
        <v>433</v>
      </c>
      <c r="D125" s="2" t="n">
        <v>3</v>
      </c>
      <c r="E125" s="2" t="n">
        <v>1</v>
      </c>
      <c r="F125" s="2" t="n">
        <v>1</v>
      </c>
      <c r="G125" s="2" t="n">
        <v>147.5</v>
      </c>
    </row>
    <row r="126">
      <c r="A126" s="7" t="n">
        <v>46289.78526427083</v>
      </c>
      <c r="B126" s="7" t="n">
        <v>46289.78402777778</v>
      </c>
      <c r="C126" s="2" t="n">
        <v>433</v>
      </c>
      <c r="D126" s="2" t="n">
        <v>3</v>
      </c>
      <c r="E126" s="2" t="n">
        <v>2</v>
      </c>
      <c r="F126" s="2" t="n">
        <v>1</v>
      </c>
      <c r="G126" s="2" t="n">
        <v>186.8</v>
      </c>
    </row>
    <row r="127">
      <c r="A127" s="7" t="n">
        <v>46289.75543116898</v>
      </c>
      <c r="B127" s="7" t="n">
        <v>46289.75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109.8</v>
      </c>
    </row>
    <row r="128">
      <c r="A128" s="7" t="n">
        <v>46289.54138961805</v>
      </c>
      <c r="B128" s="7" t="n">
        <v>46289.53472222222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125.8</v>
      </c>
    </row>
    <row r="129">
      <c r="A129" s="7" t="n">
        <v>46289.32358565972</v>
      </c>
      <c r="B129" s="7" t="n">
        <v>46289.31944444445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130.2</v>
      </c>
    </row>
    <row r="130">
      <c r="A130" s="7" t="n">
        <v>46289.18599210648</v>
      </c>
      <c r="B130" s="7" t="n">
        <v>46289.18055555555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129.3</v>
      </c>
    </row>
    <row r="131">
      <c r="A131" s="7" t="n">
        <v>46289.04908521991</v>
      </c>
      <c r="B131" s="7" t="n">
        <v>46289.04513888889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96.90000000000001</v>
      </c>
    </row>
    <row r="132">
      <c r="A132" s="7" t="n">
        <v>46289.00944646991</v>
      </c>
      <c r="B132" s="7" t="n">
        <v>46289.00347222222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127</v>
      </c>
    </row>
    <row r="133">
      <c r="A133" s="7" t="n">
        <v>46288.82408041666</v>
      </c>
      <c r="B133" s="7" t="n">
        <v>46288.81944444445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118.2</v>
      </c>
    </row>
    <row r="134">
      <c r="A134" s="7" t="n">
        <v>46288.75275025463</v>
      </c>
      <c r="B134" s="7" t="n">
        <v>46288.74652777778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125.5</v>
      </c>
    </row>
    <row r="135">
      <c r="A135" s="7" t="n">
        <v>46288.58577883102</v>
      </c>
      <c r="B135" s="7" t="n">
        <v>46288.57986111111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112.8</v>
      </c>
    </row>
    <row r="136">
      <c r="A136" s="7" t="n">
        <v>46288.57218969907</v>
      </c>
      <c r="B136" s="7" t="n">
        <v>46288.56597222222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99.7</v>
      </c>
    </row>
    <row r="137">
      <c r="A137" s="7" t="n">
        <v>46288.36332482639</v>
      </c>
      <c r="B137" s="7" t="n">
        <v>46288.35763888889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94.40000000000001</v>
      </c>
    </row>
    <row r="138">
      <c r="A138" s="7" t="n">
        <v>46288.26120461806</v>
      </c>
      <c r="B138" s="7" t="n">
        <v>46288.25694444445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103.1</v>
      </c>
    </row>
    <row r="139">
      <c r="A139" s="7" t="n">
        <v>46288.12397528935</v>
      </c>
      <c r="B139" s="7" t="n">
        <v>46288.11805555555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114.4</v>
      </c>
    </row>
    <row r="140">
      <c r="A140" s="7" t="n">
        <v>46287.95840076389</v>
      </c>
      <c r="B140" s="7" t="n">
        <v>46287.95486111111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135.1</v>
      </c>
    </row>
    <row r="141">
      <c r="A141" s="7" t="n">
        <v>46287.75277884259</v>
      </c>
      <c r="B141" s="7" t="n">
        <v>46287.74652777778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130.3</v>
      </c>
    </row>
    <row r="142">
      <c r="A142" s="7" t="n">
        <v>46287.6758560301</v>
      </c>
      <c r="B142" s="7" t="n">
        <v>46287.67013888889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91.7</v>
      </c>
    </row>
    <row r="143">
      <c r="A143" s="7" t="n">
        <v>46287.54602564815</v>
      </c>
      <c r="B143" s="7" t="n">
        <v>46287.54166666666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125.4</v>
      </c>
    </row>
    <row r="144">
      <c r="A144" s="7" t="n">
        <v>46287.51247143518</v>
      </c>
      <c r="B144" s="7" t="n">
        <v>46287.50694444445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46287.30635083334</v>
      </c>
      <c r="B145" s="7" t="n">
        <v>46287.30208333334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135.9</v>
      </c>
    </row>
    <row r="146">
      <c r="A146" s="7" t="n">
        <v>46287.14961865741</v>
      </c>
      <c r="B146" s="7" t="n">
        <v>46287.14583333334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130.5</v>
      </c>
    </row>
    <row r="147">
      <c r="A147" s="7" t="n">
        <v>46286.92852005787</v>
      </c>
      <c r="B147" s="7" t="n">
        <v>46286.92361111111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112.2</v>
      </c>
    </row>
    <row r="148">
      <c r="A148" s="7" t="n">
        <v>46286.83222814815</v>
      </c>
      <c r="B148" s="7" t="n">
        <v>46286.82638888889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126.4</v>
      </c>
    </row>
    <row r="149">
      <c r="A149" s="7" t="n">
        <v>46286.60261268519</v>
      </c>
      <c r="B149" s="7" t="n">
        <v>46286.59722222222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111.5</v>
      </c>
    </row>
    <row r="150">
      <c r="A150" s="7" t="n">
        <v>46286.38294268519</v>
      </c>
      <c r="B150" s="7" t="n">
        <v>46286.37847222222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102.4</v>
      </c>
    </row>
    <row r="151">
      <c r="A151" s="7" t="n">
        <v>46286.27148542824</v>
      </c>
      <c r="B151" s="7" t="n">
        <v>46286.26736111111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46286.14641391204</v>
      </c>
      <c r="B152" s="7" t="n">
        <v>46286.14236111111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131.3</v>
      </c>
    </row>
    <row r="153">
      <c r="A153" s="7" t="n">
        <v>46286.03573545139</v>
      </c>
      <c r="B153" s="7" t="n">
        <v>46286.03125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127.3</v>
      </c>
    </row>
    <row r="154">
      <c r="A154" s="7" t="n">
        <v>46286.00283136574</v>
      </c>
      <c r="B154" s="7" t="n">
        <v>46285.99652777778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101.9</v>
      </c>
    </row>
    <row r="155">
      <c r="A155" s="7" t="n">
        <v>46285.85245594908</v>
      </c>
      <c r="B155" s="7" t="n">
        <v>46285.84722222222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100.6</v>
      </c>
    </row>
    <row r="156">
      <c r="A156" s="7" t="n">
        <v>46285.60105145833</v>
      </c>
      <c r="B156" s="7" t="n">
        <v>46285.59722222222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129.1</v>
      </c>
    </row>
    <row r="157">
      <c r="A157" s="7" t="n">
        <v>46285.38559789352</v>
      </c>
      <c r="B157" s="7" t="n">
        <v>46285.38194444445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112.5</v>
      </c>
    </row>
    <row r="158">
      <c r="A158" s="7" t="n">
        <v>46285.29994834491</v>
      </c>
      <c r="B158" s="7" t="n">
        <v>46285.29513888889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128.1</v>
      </c>
    </row>
    <row r="159">
      <c r="A159" s="7" t="n">
        <v>46285.19964518519</v>
      </c>
      <c r="B159" s="7" t="n">
        <v>46285.19444444445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110.6</v>
      </c>
    </row>
    <row r="160">
      <c r="A160" s="7" t="n">
        <v>46285.08704527777</v>
      </c>
      <c r="B160" s="7" t="n">
        <v>46285.08333333334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95.09999999999999</v>
      </c>
    </row>
    <row r="161">
      <c r="A161" s="7" t="n">
        <v>46284.93748335648</v>
      </c>
      <c r="B161" s="7" t="n">
        <v>46284.93055555555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128.7</v>
      </c>
    </row>
    <row r="162">
      <c r="A162" s="7" t="n">
        <v>46284.79727659722</v>
      </c>
      <c r="B162" s="7" t="n">
        <v>46284.79166666666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109.7</v>
      </c>
    </row>
    <row r="163">
      <c r="A163" s="7" t="n">
        <v>46284.58365538195</v>
      </c>
      <c r="B163" s="7" t="n">
        <v>46284.57986111111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101.8</v>
      </c>
    </row>
    <row r="164">
      <c r="A164" s="7" t="n">
        <v>46284.38530752315</v>
      </c>
      <c r="B164" s="7" t="n">
        <v>46284.37847222222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130.8</v>
      </c>
    </row>
    <row r="165">
      <c r="A165" s="7" t="n">
        <v>46284.27664920139</v>
      </c>
      <c r="B165" s="7" t="n">
        <v>46284.27083333334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127.8</v>
      </c>
    </row>
    <row r="166">
      <c r="A166" s="7" t="n">
        <v>46284.15392047453</v>
      </c>
      <c r="B166" s="7" t="n">
        <v>46284.14930555555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135.6</v>
      </c>
    </row>
    <row r="167">
      <c r="A167" s="7" t="n">
        <v>46284.02123533565</v>
      </c>
      <c r="B167" s="7" t="n">
        <v>46284.01736111111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46283.99753837963</v>
      </c>
      <c r="B168" s="7" t="n">
        <v>46283.99305555555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129.8</v>
      </c>
    </row>
    <row r="169">
      <c r="A169" s="7" t="n">
        <v>46283.80859936342</v>
      </c>
      <c r="B169" s="7" t="n">
        <v>46283.80208333334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127.7</v>
      </c>
    </row>
    <row r="170">
      <c r="A170" s="7" t="n">
        <v>46283.78916202546</v>
      </c>
      <c r="B170" s="7" t="n">
        <v>46283.78472222222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119.1</v>
      </c>
    </row>
    <row r="171">
      <c r="A171" s="7" t="n">
        <v>46283.58323265046</v>
      </c>
      <c r="B171" s="7" t="n">
        <v>46283.57638888889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46283.57323743056</v>
      </c>
      <c r="B172" s="7" t="n">
        <v>46283.56944444445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94.3</v>
      </c>
    </row>
    <row r="173">
      <c r="A173" s="7" t="n">
        <v>46283.45181144676</v>
      </c>
      <c r="B173" s="7" t="n">
        <v>46283.44791666666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46283.44134394676</v>
      </c>
      <c r="B174" s="7" t="n">
        <v>46283.4375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373.5</v>
      </c>
    </row>
    <row r="175">
      <c r="A175" s="7" t="n">
        <v>46283.35273409722</v>
      </c>
      <c r="B175" s="7" t="n">
        <v>46283.34722222222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46283.26014016203</v>
      </c>
      <c r="B176" s="7" t="n">
        <v>46283.25347222222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129.5</v>
      </c>
    </row>
    <row r="177">
      <c r="A177" s="7" t="n">
        <v>46283.09637409722</v>
      </c>
      <c r="B177" s="7" t="n">
        <v>46283.09027777778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131.2</v>
      </c>
    </row>
    <row r="178">
      <c r="A178" s="7" t="n">
        <v>46282.89824439815</v>
      </c>
      <c r="B178" s="7" t="n">
        <v>46282.89236111111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137</v>
      </c>
    </row>
    <row r="179">
      <c r="A179" s="7" t="n">
        <v>46282.65711792824</v>
      </c>
      <c r="B179" s="7" t="n">
        <v>46282.65277777778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126.6</v>
      </c>
    </row>
    <row r="180">
      <c r="A180" s="7" t="n">
        <v>46282.40350203704</v>
      </c>
      <c r="B180" s="7" t="n">
        <v>46282.39930555555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323.7</v>
      </c>
    </row>
    <row r="181">
      <c r="A181" s="7" t="n">
        <v>46282.39577758102</v>
      </c>
      <c r="B181" s="7" t="n">
        <v>46282.33333333334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50.5</v>
      </c>
    </row>
    <row r="182">
      <c r="A182" s="7" t="n">
        <v>46282.29222982639</v>
      </c>
      <c r="B182" s="7" t="n">
        <v>46282.25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66.2</v>
      </c>
    </row>
    <row r="183">
      <c r="A183" s="7" t="n">
        <v>46282.17576607639</v>
      </c>
      <c r="B183" s="7" t="n">
        <v>46282.125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67</v>
      </c>
    </row>
    <row r="184">
      <c r="A184" s="7" t="n">
        <v>46282.04552453704</v>
      </c>
      <c r="B184" s="7" t="n">
        <v>46282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52.9</v>
      </c>
    </row>
    <row r="185">
      <c r="A185" s="7" t="n">
        <v>46281.82298537037</v>
      </c>
      <c r="B185" s="7" t="n">
        <v>46281.75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65.7</v>
      </c>
    </row>
    <row r="186">
      <c r="A186" s="7" t="n">
        <v>46281.58829054398</v>
      </c>
      <c r="B186" s="7" t="n">
        <v>46281.54166666666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54.5</v>
      </c>
    </row>
    <row r="187">
      <c r="A187" s="7" t="n">
        <v>46281.35205523148</v>
      </c>
      <c r="B187" s="7" t="n">
        <v>46281.29166666666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46281.22963460648</v>
      </c>
      <c r="B188" s="7" t="n">
        <v>46281.16666666666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61.9</v>
      </c>
    </row>
    <row r="189">
      <c r="A189" s="7" t="n">
        <v>46281.094529375</v>
      </c>
      <c r="B189" s="7" t="n">
        <v>46281.04166666666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46.5</v>
      </c>
    </row>
    <row r="190">
      <c r="A190" s="7" t="n">
        <v>46280.9017994676</v>
      </c>
      <c r="B190" s="7" t="n">
        <v>46280.83333333334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56.7</v>
      </c>
    </row>
    <row r="191">
      <c r="A191" s="7" t="n">
        <v>46280.66002480324</v>
      </c>
      <c r="B191" s="7" t="n">
        <v>46280.58333333334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67.40000000000001</v>
      </c>
    </row>
    <row r="192">
      <c r="A192" s="7" t="n">
        <v>46280.4778358449</v>
      </c>
      <c r="B192" s="7" t="n">
        <v>46280.41666666666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61.2</v>
      </c>
    </row>
    <row r="193">
      <c r="A193" s="7" t="n">
        <v>46280.39795681713</v>
      </c>
      <c r="B193" s="7" t="n">
        <v>46280.33333333334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46280.29983445602</v>
      </c>
      <c r="B194" s="7" t="n">
        <v>46280.25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51.6</v>
      </c>
    </row>
    <row r="195">
      <c r="A195" s="7" t="n">
        <v>46280.14350143519</v>
      </c>
      <c r="B195" s="7" t="n">
        <v>46280.08333333334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57.3</v>
      </c>
    </row>
    <row r="196">
      <c r="A196" s="7" t="n">
        <v>46279.92418226852</v>
      </c>
      <c r="B196" s="7" t="n">
        <v>46279.875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48.1</v>
      </c>
    </row>
    <row r="197">
      <c r="A197" s="7" t="n">
        <v>46279.59996445602</v>
      </c>
      <c r="B197" s="7" t="n">
        <v>46279.54166666666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</v>
      </c>
    </row>
    <row r="198">
      <c r="A198" s="7" t="n">
        <v>46279.38316741898</v>
      </c>
      <c r="B198" s="7" t="n">
        <v>46279.33333333334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59.9</v>
      </c>
    </row>
    <row r="199">
      <c r="A199" s="7" t="n">
        <v>46279.26932584491</v>
      </c>
      <c r="B199" s="7" t="n">
        <v>46279.20833333334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61.1</v>
      </c>
    </row>
    <row r="200">
      <c r="A200" s="7" t="n">
        <v>46279.14665413195</v>
      </c>
      <c r="B200" s="7" t="n">
        <v>46279.08333333334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55.1</v>
      </c>
    </row>
    <row r="201">
      <c r="A201" s="7" t="n">
        <v>46279.01733591435</v>
      </c>
      <c r="B201" s="7" t="n">
        <v>46278.95833333334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COUNTIFS(資金明細!$C$2:$C$129,"進場",資金明細!$N$2:$N$129,"已下單")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COUNTIFS(資金明細!$C$2:$C$129,"進場",資金明細!$N$2:$N$129,"資金不足略過")</f>
        <v/>
      </c>
    </row>
    <row r="11">
      <c r="D11" s="2" t="inlineStr">
        <is>
          <t>止盈筆數</t>
        </is>
      </c>
      <c r="E11" s="15">
        <f>COUNTIFS(資金明細!$C$2:$C$129,"出場",資金明細!$N$2:$N$129,"已下單",資金明細!$K$2:$K$129,"止盈")</f>
        <v/>
      </c>
    </row>
    <row r="12">
      <c r="A12" s="2" t="inlineStr">
        <is>
          <t>每筆止損約虧本金</t>
        </is>
      </c>
      <c r="B12" s="4">
        <f>B5*B7*IFERROR(AVERAGE(交易明細!$AB$2:$AB$65),參數!B6)</f>
        <v/>
      </c>
      <c r="D12" s="2" t="inlineStr">
        <is>
          <t>止損筆數</t>
        </is>
      </c>
      <c r="E12" s="15">
        <f>COUNTIFS(資金明細!$C$2:$C$129,"出場",資金明細!$N$2:$N$129,"已下單",資金明細!$K$2:$K$129,"止損")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IFERROR(E11/COUNTIFS(資金明細!$C$2:$C$129,"出場",資金明細!$N$2:$N$129,"已下單"),0)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MAX(資金明細!$S$2:$S$129)</f>
        <v/>
      </c>
    </row>
    <row r="16">
      <c r="D16" s="2" t="inlineStr">
        <is>
          <t>期末下單金額</t>
        </is>
      </c>
      <c r="E16" s="16">
        <f>B5*資金明細!V129</f>
        <v/>
      </c>
    </row>
    <row r="17">
      <c r="D17" s="2" t="inlineStr">
        <is>
          <t>未平倉浮動損益（未計入）</t>
        </is>
      </c>
      <c r="E17" s="10">
        <f>IF(資金明細!N129="已下單",資金明細!O129*交易明細!L65,0)</f>
        <v/>
      </c>
    </row>
    <row r="18">
      <c r="D18" s="2" t="inlineStr">
        <is>
          <t>最大總曝險倍數</t>
        </is>
      </c>
      <c r="E18" s="16">
        <f>MAX(資金明細!$Y$2:$Y$129)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IFERROR(INDEX(資金明細!$B$2:$B$129,MATCH(1,資金明細!$Z$2:$Z$129,0)),"未觸發")</f>
        <v/>
      </c>
    </row>
    <row r="21">
      <c r="D21" s="2" t="inlineStr">
        <is>
          <t>停止後略過筆數</t>
        </is>
      </c>
      <c r="E21" s="15">
        <f>COUNTIFS(資金明細!$C$2:$C$129,"進場",資金明細!$N$2:$N$129,"已停止")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inlineStr">
        <is>
          <t>未平倉</t>
        </is>
      </c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</sheetData>
  <autoFilter ref="A1:Z129"/>
  <conditionalFormatting sqref="K2:K12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46301.36875</v>
      </c>
      <c r="I65" s="17" t="n">
        <v>0.228</v>
      </c>
      <c r="J65" s="2" t="inlineStr">
        <is>
          <t>未平倉</t>
        </is>
      </c>
      <c r="K65" s="5">
        <f>(H65-D65)*24</f>
        <v/>
      </c>
      <c r="L65" s="4">
        <f>IF(C65="做多",I65/E65-1,1-I65/E65)-2*參數!$B$7</f>
        <v/>
      </c>
      <c r="M65" s="2" t="inlineStr">
        <is>
          <t>持倉中（以最新收盤估值）</t>
        </is>
      </c>
      <c r="N65" s="4" t="n"/>
      <c r="O65" s="4" t="n"/>
      <c r="P65" s="4" t="n"/>
      <c r="Q65" s="19" t="n"/>
      <c r="R65" s="19" t="n"/>
      <c r="S65" s="4" t="n">
        <v>0.02839396628216495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</sheetData>
  <autoFilter ref="A1:AH65"/>
  <conditionalFormatting sqref="J2:J6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COUNTIFS(交易明細!$B$2:$B$65,$A2)</f>
        <v/>
      </c>
      <c r="C2" s="2">
        <f>COUNTIFS(交易明細!$B$2:$B$65,$A2,交易明細!$C$2:$C$65,"做多")</f>
        <v/>
      </c>
      <c r="D2" s="2">
        <f>COUNTIFS(交易明細!$B$2:$B$65,$A2,交易明細!$C$2:$C$65,"做空")</f>
        <v/>
      </c>
      <c r="E2" s="2">
        <f>F2+G2+COUNTIFS(交易明細!$B$2:$B$65,$A2,交易明細!$J$2:$J$65,"時間出場")</f>
        <v/>
      </c>
      <c r="F2" s="2">
        <f>COUNTIFS(交易明細!$B$2:$B$65,$A2,交易明細!$J$2:$J$65,"止盈")</f>
        <v/>
      </c>
      <c r="G2" s="2">
        <f>COUNTIFS(交易明細!$B$2:$B$65,$A2,交易明細!$J$2:$J$65,"止損")</f>
        <v/>
      </c>
      <c r="H2" s="4">
        <f>IFERROR(F2/E2,0)</f>
        <v/>
      </c>
      <c r="I2" s="4">
        <f>IFERROR(AVERAGEIFS(交易明細!$L$2:$L$65,交易明細!$B$2:$B$65,$A2,交易明細!$J$2:$J$65,"&lt;&gt;未平倉"),0)</f>
        <v/>
      </c>
      <c r="J2" s="4">
        <f>SUMIFS(交易明細!$L$2:$L$65,交易明細!$B$2:$B$65,$A2,交易明細!$J$2:$J$65,"&lt;&gt;未平倉")</f>
        <v/>
      </c>
      <c r="K2" s="5">
        <f>IFERROR(AVERAGEIFS(交易明細!$K$2:$K$65,交易明細!$B$2:$B$65,$A2,交易明細!$J$2:$J$65,"&lt;&gt;未平倉"),0)</f>
        <v/>
      </c>
      <c r="L2" s="2">
        <f>COUNTIFS(交易明細!$B$2:$B$65,$A2,交易明細!$J$2:$J$65,"未平倉")</f>
        <v/>
      </c>
    </row>
    <row r="3">
      <c r="A3" s="2" t="inlineStr">
        <is>
          <t>MOVR_USDT_PERP</t>
        </is>
      </c>
      <c r="B3" s="2">
        <f>COUNTIFS(交易明細!$B$2:$B$65,$A3)</f>
        <v/>
      </c>
      <c r="C3" s="2">
        <f>COUNTIFS(交易明細!$B$2:$B$65,$A3,交易明細!$C$2:$C$65,"做多")</f>
        <v/>
      </c>
      <c r="D3" s="2">
        <f>COUNTIFS(交易明細!$B$2:$B$65,$A3,交易明細!$C$2:$C$65,"做空")</f>
        <v/>
      </c>
      <c r="E3" s="2">
        <f>F3+G3+COUNTIFS(交易明細!$B$2:$B$65,$A3,交易明細!$J$2:$J$65,"時間出場")</f>
        <v/>
      </c>
      <c r="F3" s="2">
        <f>COUNTIFS(交易明細!$B$2:$B$65,$A3,交易明細!$J$2:$J$65,"止盈")</f>
        <v/>
      </c>
      <c r="G3" s="2">
        <f>COUNTIFS(交易明細!$B$2:$B$65,$A3,交易明細!$J$2:$J$65,"止損")</f>
        <v/>
      </c>
      <c r="H3" s="4">
        <f>IFERROR(F3/E3,0)</f>
        <v/>
      </c>
      <c r="I3" s="4">
        <f>IFERROR(AVERAGEIFS(交易明細!$L$2:$L$65,交易明細!$B$2:$B$65,$A3,交易明細!$J$2:$J$65,"&lt;&gt;未平倉"),0)</f>
        <v/>
      </c>
      <c r="J3" s="4">
        <f>SUMIFS(交易明細!$L$2:$L$65,交易明細!$B$2:$B$65,$A3,交易明細!$J$2:$J$65,"&lt;&gt;未平倉")</f>
        <v/>
      </c>
      <c r="K3" s="5">
        <f>IFERROR(AVERAGEIFS(交易明細!$K$2:$K$65,交易明細!$B$2:$B$65,$A3,交易明細!$J$2:$J$65,"&lt;&gt;未平倉"),0)</f>
        <v/>
      </c>
      <c r="L3" s="2">
        <f>COUNTIFS(交易明細!$B$2:$B$65,$A3,交易明細!$J$2:$J$65,"未平倉")</f>
        <v/>
      </c>
    </row>
    <row r="4">
      <c r="A4" s="2" t="inlineStr">
        <is>
          <t>US_USDT_PERP</t>
        </is>
      </c>
      <c r="B4" s="2">
        <f>COUNTIFS(交易明細!$B$2:$B$65,$A4)</f>
        <v/>
      </c>
      <c r="C4" s="2">
        <f>COUNTIFS(交易明細!$B$2:$B$65,$A4,交易明細!$C$2:$C$65,"做多")</f>
        <v/>
      </c>
      <c r="D4" s="2">
        <f>COUNTIFS(交易明細!$B$2:$B$65,$A4,交易明細!$C$2:$C$65,"做空")</f>
        <v/>
      </c>
      <c r="E4" s="2">
        <f>F4+G4+COUNTIFS(交易明細!$B$2:$B$65,$A4,交易明細!$J$2:$J$65,"時間出場")</f>
        <v/>
      </c>
      <c r="F4" s="2">
        <f>COUNTIFS(交易明細!$B$2:$B$65,$A4,交易明細!$J$2:$J$65,"止盈")</f>
        <v/>
      </c>
      <c r="G4" s="2">
        <f>COUNTIFS(交易明細!$B$2:$B$65,$A4,交易明細!$J$2:$J$65,"止損")</f>
        <v/>
      </c>
      <c r="H4" s="4">
        <f>IFERROR(F4/E4,0)</f>
        <v/>
      </c>
      <c r="I4" s="4">
        <f>IFERROR(AVERAGEIFS(交易明細!$L$2:$L$65,交易明細!$B$2:$B$65,$A4,交易明細!$J$2:$J$65,"&lt;&gt;未平倉"),0)</f>
        <v/>
      </c>
      <c r="J4" s="4">
        <f>SUMIFS(交易明細!$L$2:$L$65,交易明細!$B$2:$B$65,$A4,交易明細!$J$2:$J$65,"&lt;&gt;未平倉")</f>
        <v/>
      </c>
      <c r="K4" s="5">
        <f>IFERROR(AVERAGEIFS(交易明細!$K$2:$K$65,交易明細!$B$2:$B$65,$A4,交易明細!$J$2:$J$65,"&lt;&gt;未平倉"),0)</f>
        <v/>
      </c>
      <c r="L4" s="2">
        <f>COUNTIFS(交易明細!$B$2:$B$65,$A4,交易明細!$J$2:$J$65,"未平倉")</f>
        <v/>
      </c>
    </row>
    <row r="5">
      <c r="A5" s="2" t="inlineStr">
        <is>
          <t>LYN_USDT_PERP</t>
        </is>
      </c>
      <c r="B5" s="2">
        <f>COUNTIFS(交易明細!$B$2:$B$65,$A5)</f>
        <v/>
      </c>
      <c r="C5" s="2">
        <f>COUNTIFS(交易明細!$B$2:$B$65,$A5,交易明細!$C$2:$C$65,"做多")</f>
        <v/>
      </c>
      <c r="D5" s="2">
        <f>COUNTIFS(交易明細!$B$2:$B$65,$A5,交易明細!$C$2:$C$65,"做空")</f>
        <v/>
      </c>
      <c r="E5" s="2">
        <f>F5+G5+COUNTIFS(交易明細!$B$2:$B$65,$A5,交易明細!$J$2:$J$65,"時間出場")</f>
        <v/>
      </c>
      <c r="F5" s="2">
        <f>COUNTIFS(交易明細!$B$2:$B$65,$A5,交易明細!$J$2:$J$65,"止盈")</f>
        <v/>
      </c>
      <c r="G5" s="2">
        <f>COUNTIFS(交易明細!$B$2:$B$65,$A5,交易明細!$J$2:$J$65,"止損")</f>
        <v/>
      </c>
      <c r="H5" s="4">
        <f>IFERROR(F5/E5,0)</f>
        <v/>
      </c>
      <c r="I5" s="4">
        <f>IFERROR(AVERAGEIFS(交易明細!$L$2:$L$65,交易明細!$B$2:$B$65,$A5,交易明細!$J$2:$J$65,"&lt;&gt;未平倉"),0)</f>
        <v/>
      </c>
      <c r="J5" s="4">
        <f>SUMIFS(交易明細!$L$2:$L$65,交易明細!$B$2:$B$65,$A5,交易明細!$J$2:$J$65,"&lt;&gt;未平倉")</f>
        <v/>
      </c>
      <c r="K5" s="5">
        <f>IFERROR(AVERAGEIFS(交易明細!$K$2:$K$65,交易明細!$B$2:$B$65,$A5,交易明細!$J$2:$J$65,"&lt;&gt;未平倉"),0)</f>
        <v/>
      </c>
      <c r="L5" s="2">
        <f>COUNTIFS(交易明細!$B$2:$B$65,$A5,交易明細!$J$2:$J$65,"未平倉")</f>
        <v/>
      </c>
    </row>
    <row r="6">
      <c r="A6" s="2" t="inlineStr">
        <is>
          <t>ARX_USDT_PERP</t>
        </is>
      </c>
      <c r="B6" s="2">
        <f>COUNTIFS(交易明細!$B$2:$B$65,$A6)</f>
        <v/>
      </c>
      <c r="C6" s="2">
        <f>COUNTIFS(交易明細!$B$2:$B$65,$A6,交易明細!$C$2:$C$65,"做多")</f>
        <v/>
      </c>
      <c r="D6" s="2">
        <f>COUNTIFS(交易明細!$B$2:$B$65,$A6,交易明細!$C$2:$C$65,"做空")</f>
        <v/>
      </c>
      <c r="E6" s="2">
        <f>F6+G6+COUNTIFS(交易明細!$B$2:$B$65,$A6,交易明細!$J$2:$J$65,"時間出場")</f>
        <v/>
      </c>
      <c r="F6" s="2">
        <f>COUNTIFS(交易明細!$B$2:$B$65,$A6,交易明細!$J$2:$J$65,"止盈")</f>
        <v/>
      </c>
      <c r="G6" s="2">
        <f>COUNTIFS(交易明細!$B$2:$B$65,$A6,交易明細!$J$2:$J$65,"止損")</f>
        <v/>
      </c>
      <c r="H6" s="4">
        <f>IFERROR(F6/E6,0)</f>
        <v/>
      </c>
      <c r="I6" s="4">
        <f>IFERROR(AVERAGEIFS(交易明細!$L$2:$L$65,交易明細!$B$2:$B$65,$A6,交易明細!$J$2:$J$65,"&lt;&gt;未平倉"),0)</f>
        <v/>
      </c>
      <c r="J6" s="4">
        <f>SUMIFS(交易明細!$L$2:$L$65,交易明細!$B$2:$B$65,$A6,交易明細!$J$2:$J$65,"&lt;&gt;未平倉")</f>
        <v/>
      </c>
      <c r="K6" s="5">
        <f>IFERROR(AVERAGEIFS(交易明細!$K$2:$K$65,交易明細!$B$2:$B$65,$A6,交易明細!$J$2:$J$65,"&lt;&gt;未平倉"),0)</f>
        <v/>
      </c>
      <c r="L6" s="2">
        <f>COUNTIFS(交易明細!$B$2:$B$65,$A6,交易明細!$J$2:$J$65,"未平倉")</f>
        <v/>
      </c>
    </row>
    <row r="7">
      <c r="A7" s="2" t="inlineStr">
        <is>
          <t>AGT_USDT_PERP</t>
        </is>
      </c>
      <c r="B7" s="2">
        <f>COUNTIFS(交易明細!$B$2:$B$65,$A7)</f>
        <v/>
      </c>
      <c r="C7" s="2">
        <f>COUNTIFS(交易明細!$B$2:$B$65,$A7,交易明細!$C$2:$C$65,"做多")</f>
        <v/>
      </c>
      <c r="D7" s="2">
        <f>COUNTIFS(交易明細!$B$2:$B$65,$A7,交易明細!$C$2:$C$65,"做空")</f>
        <v/>
      </c>
      <c r="E7" s="2">
        <f>F7+G7+COUNTIFS(交易明細!$B$2:$B$65,$A7,交易明細!$J$2:$J$65,"時間出場")</f>
        <v/>
      </c>
      <c r="F7" s="2">
        <f>COUNTIFS(交易明細!$B$2:$B$65,$A7,交易明細!$J$2:$J$65,"止盈")</f>
        <v/>
      </c>
      <c r="G7" s="2">
        <f>COUNTIFS(交易明細!$B$2:$B$65,$A7,交易明細!$J$2:$J$65,"止損")</f>
        <v/>
      </c>
      <c r="H7" s="4">
        <f>IFERROR(F7/E7,0)</f>
        <v/>
      </c>
      <c r="I7" s="4">
        <f>IFERROR(AVERAGEIFS(交易明細!$L$2:$L$65,交易明細!$B$2:$B$65,$A7,交易明細!$J$2:$J$65,"&lt;&gt;未平倉"),0)</f>
        <v/>
      </c>
      <c r="J7" s="4">
        <f>SUMIFS(交易明細!$L$2:$L$65,交易明細!$B$2:$B$65,$A7,交易明細!$J$2:$J$65,"&lt;&gt;未平倉")</f>
        <v/>
      </c>
      <c r="K7" s="5">
        <f>IFERROR(AVERAGEIFS(交易明細!$K$2:$K$65,交易明細!$B$2:$B$65,$A7,交易明細!$J$2:$J$65,"&lt;&gt;未平倉"),0)</f>
        <v/>
      </c>
      <c r="L7" s="2">
        <f>COUNTIFS(交易明細!$B$2:$B$65,$A7,交易明細!$J$2:$J$65,"未平倉")</f>
        <v/>
      </c>
    </row>
    <row r="8">
      <c r="A8" s="2" t="inlineStr">
        <is>
          <t>PHA_USDT_PERP</t>
        </is>
      </c>
      <c r="B8" s="2">
        <f>COUNTIFS(交易明細!$B$2:$B$65,$A8)</f>
        <v/>
      </c>
      <c r="C8" s="2">
        <f>COUNTIFS(交易明細!$B$2:$B$65,$A8,交易明細!$C$2:$C$65,"做多")</f>
        <v/>
      </c>
      <c r="D8" s="2">
        <f>COUNTIFS(交易明細!$B$2:$B$65,$A8,交易明細!$C$2:$C$65,"做空")</f>
        <v/>
      </c>
      <c r="E8" s="2">
        <f>F8+G8+COUNTIFS(交易明細!$B$2:$B$65,$A8,交易明細!$J$2:$J$65,"時間出場")</f>
        <v/>
      </c>
      <c r="F8" s="2">
        <f>COUNTIFS(交易明細!$B$2:$B$65,$A8,交易明細!$J$2:$J$65,"止盈")</f>
        <v/>
      </c>
      <c r="G8" s="2">
        <f>COUNTIFS(交易明細!$B$2:$B$65,$A8,交易明細!$J$2:$J$65,"止損")</f>
        <v/>
      </c>
      <c r="H8" s="4">
        <f>IFERROR(F8/E8,0)</f>
        <v/>
      </c>
      <c r="I8" s="4">
        <f>IFERROR(AVERAGEIFS(交易明細!$L$2:$L$65,交易明細!$B$2:$B$65,$A8,交易明細!$J$2:$J$65,"&lt;&gt;未平倉"),0)</f>
        <v/>
      </c>
      <c r="J8" s="4">
        <f>SUMIFS(交易明細!$L$2:$L$65,交易明細!$B$2:$B$65,$A8,交易明細!$J$2:$J$65,"&lt;&gt;未平倉")</f>
        <v/>
      </c>
      <c r="K8" s="5">
        <f>IFERROR(AVERAGEIFS(交易明細!$K$2:$K$65,交易明細!$B$2:$B$65,$A8,交易明細!$J$2:$J$65,"&lt;&gt;未平倉"),0)</f>
        <v/>
      </c>
      <c r="L8" s="2">
        <f>COUNTIFS(交易明細!$B$2:$B$65,$A8,交易明細!$J$2:$J$65,"未平倉")</f>
        <v/>
      </c>
    </row>
    <row r="9">
      <c r="A9" s="2" t="inlineStr">
        <is>
          <t>SPK_USDT_PERP</t>
        </is>
      </c>
      <c r="B9" s="2">
        <f>COUNTIFS(交易明細!$B$2:$B$65,$A9)</f>
        <v/>
      </c>
      <c r="C9" s="2">
        <f>COUNTIFS(交易明細!$B$2:$B$65,$A9,交易明細!$C$2:$C$65,"做多")</f>
        <v/>
      </c>
      <c r="D9" s="2">
        <f>COUNTIFS(交易明細!$B$2:$B$65,$A9,交易明細!$C$2:$C$65,"做空")</f>
        <v/>
      </c>
      <c r="E9" s="2">
        <f>F9+G9+COUNTIFS(交易明細!$B$2:$B$65,$A9,交易明細!$J$2:$J$65,"時間出場")</f>
        <v/>
      </c>
      <c r="F9" s="2">
        <f>COUNTIFS(交易明細!$B$2:$B$65,$A9,交易明細!$J$2:$J$65,"止盈")</f>
        <v/>
      </c>
      <c r="G9" s="2">
        <f>COUNTIFS(交易明細!$B$2:$B$65,$A9,交易明細!$J$2:$J$65,"止損")</f>
        <v/>
      </c>
      <c r="H9" s="4">
        <f>IFERROR(F9/E9,0)</f>
        <v/>
      </c>
      <c r="I9" s="4">
        <f>IFERROR(AVERAGEIFS(交易明細!$L$2:$L$65,交易明細!$B$2:$B$65,$A9,交易明細!$J$2:$J$65,"&lt;&gt;未平倉"),0)</f>
        <v/>
      </c>
      <c r="J9" s="4">
        <f>SUMIFS(交易明細!$L$2:$L$65,交易明細!$B$2:$B$65,$A9,交易明細!$J$2:$J$65,"&lt;&gt;未平倉")</f>
        <v/>
      </c>
      <c r="K9" s="5">
        <f>IFERROR(AVERAGEIFS(交易明細!$K$2:$K$65,交易明細!$B$2:$B$65,$A9,交易明細!$J$2:$J$65,"&lt;&gt;未平倉"),0)</f>
        <v/>
      </c>
      <c r="L9" s="2">
        <f>COUNTIFS(交易明細!$B$2:$B$65,$A9,交易明細!$J$2:$J$65,"未平倉")</f>
        <v/>
      </c>
    </row>
    <row r="10">
      <c r="A10" s="2" t="inlineStr">
        <is>
          <t>2Z_USDT_PERP</t>
        </is>
      </c>
      <c r="B10" s="2">
        <f>COUNTIFS(交易明細!$B$2:$B$65,$A10)</f>
        <v/>
      </c>
      <c r="C10" s="2">
        <f>COUNTIFS(交易明細!$B$2:$B$65,$A10,交易明細!$C$2:$C$65,"做多")</f>
        <v/>
      </c>
      <c r="D10" s="2">
        <f>COUNTIFS(交易明細!$B$2:$B$65,$A10,交易明細!$C$2:$C$65,"做空")</f>
        <v/>
      </c>
      <c r="E10" s="2">
        <f>F10+G10+COUNTIFS(交易明細!$B$2:$B$65,$A10,交易明細!$J$2:$J$65,"時間出場")</f>
        <v/>
      </c>
      <c r="F10" s="2">
        <f>COUNTIFS(交易明細!$B$2:$B$65,$A10,交易明細!$J$2:$J$65,"止盈")</f>
        <v/>
      </c>
      <c r="G10" s="2">
        <f>COUNTIFS(交易明細!$B$2:$B$65,$A10,交易明細!$J$2:$J$65,"止損")</f>
        <v/>
      </c>
      <c r="H10" s="4">
        <f>IFERROR(F10/E10,0)</f>
        <v/>
      </c>
      <c r="I10" s="4">
        <f>IFERROR(AVERAGEIFS(交易明細!$L$2:$L$65,交易明細!$B$2:$B$65,$A10,交易明細!$J$2:$J$65,"&lt;&gt;未平倉"),0)</f>
        <v/>
      </c>
      <c r="J10" s="4">
        <f>SUMIFS(交易明細!$L$2:$L$65,交易明細!$B$2:$B$65,$A10,交易明細!$J$2:$J$65,"&lt;&gt;未平倉")</f>
        <v/>
      </c>
      <c r="K10" s="5">
        <f>IFERROR(AVERAGEIFS(交易明細!$K$2:$K$65,交易明細!$B$2:$B$65,$A10,交易明細!$J$2:$J$65,"&lt;&gt;未平倉"),0)</f>
        <v/>
      </c>
      <c r="L10" s="2">
        <f>COUNTIFS(交易明細!$B$2:$B$65,$A10,交易明細!$J$2:$J$65,"未平倉")</f>
        <v/>
      </c>
    </row>
    <row r="11">
      <c r="A11" s="2" t="inlineStr">
        <is>
          <t>SOON_USDT_PERP</t>
        </is>
      </c>
      <c r="B11" s="2">
        <f>COUNTIFS(交易明細!$B$2:$B$65,$A11)</f>
        <v/>
      </c>
      <c r="C11" s="2">
        <f>COUNTIFS(交易明細!$B$2:$B$65,$A11,交易明細!$C$2:$C$65,"做多")</f>
        <v/>
      </c>
      <c r="D11" s="2">
        <f>COUNTIFS(交易明細!$B$2:$B$65,$A11,交易明細!$C$2:$C$65,"做空")</f>
        <v/>
      </c>
      <c r="E11" s="2">
        <f>F11+G11+COUNTIFS(交易明細!$B$2:$B$65,$A11,交易明細!$J$2:$J$65,"時間出場")</f>
        <v/>
      </c>
      <c r="F11" s="2">
        <f>COUNTIFS(交易明細!$B$2:$B$65,$A11,交易明細!$J$2:$J$65,"止盈")</f>
        <v/>
      </c>
      <c r="G11" s="2">
        <f>COUNTIFS(交易明細!$B$2:$B$65,$A11,交易明細!$J$2:$J$65,"止損")</f>
        <v/>
      </c>
      <c r="H11" s="4">
        <f>IFERROR(F11/E11,0)</f>
        <v/>
      </c>
      <c r="I11" s="4">
        <f>IFERROR(AVERAGEIFS(交易明細!$L$2:$L$65,交易明細!$B$2:$B$65,$A11,交易明細!$J$2:$J$65,"&lt;&gt;未平倉"),0)</f>
        <v/>
      </c>
      <c r="J11" s="4">
        <f>SUMIFS(交易明細!$L$2:$L$65,交易明細!$B$2:$B$65,$A11,交易明細!$J$2:$J$65,"&lt;&gt;未平倉")</f>
        <v/>
      </c>
      <c r="K11" s="5">
        <f>IFERROR(AVERAGEIFS(交易明細!$K$2:$K$65,交易明細!$B$2:$B$65,$A11,交易明細!$J$2:$J$65,"&lt;&gt;未平倉"),0)</f>
        <v/>
      </c>
      <c r="L11" s="2">
        <f>COUNTIFS(交易明細!$B$2:$B$65,$A11,交易明細!$J$2:$J$65,"未平倉")</f>
        <v/>
      </c>
    </row>
    <row r="12">
      <c r="A12" s="2" t="inlineStr">
        <is>
          <t>PROS_USDT_PERP</t>
        </is>
      </c>
      <c r="B12" s="2">
        <f>COUNTIFS(交易明細!$B$2:$B$65,$A12)</f>
        <v/>
      </c>
      <c r="C12" s="2">
        <f>COUNTIFS(交易明細!$B$2:$B$65,$A12,交易明細!$C$2:$C$65,"做多")</f>
        <v/>
      </c>
      <c r="D12" s="2">
        <f>COUNTIFS(交易明細!$B$2:$B$65,$A12,交易明細!$C$2:$C$65,"做空")</f>
        <v/>
      </c>
      <c r="E12" s="2">
        <f>F12+G12+COUNTIFS(交易明細!$B$2:$B$65,$A12,交易明細!$J$2:$J$65,"時間出場")</f>
        <v/>
      </c>
      <c r="F12" s="2">
        <f>COUNTIFS(交易明細!$B$2:$B$65,$A12,交易明細!$J$2:$J$65,"止盈")</f>
        <v/>
      </c>
      <c r="G12" s="2">
        <f>COUNTIFS(交易明細!$B$2:$B$65,$A12,交易明細!$J$2:$J$65,"止損")</f>
        <v/>
      </c>
      <c r="H12" s="4">
        <f>IFERROR(F12/E12,0)</f>
        <v/>
      </c>
      <c r="I12" s="4">
        <f>IFERROR(AVERAGEIFS(交易明細!$L$2:$L$65,交易明細!$B$2:$B$65,$A12,交易明細!$J$2:$J$65,"&lt;&gt;未平倉"),0)</f>
        <v/>
      </c>
      <c r="J12" s="4">
        <f>SUMIFS(交易明細!$L$2:$L$65,交易明細!$B$2:$B$65,$A12,交易明細!$J$2:$J$65,"&lt;&gt;未平倉")</f>
        <v/>
      </c>
      <c r="K12" s="5">
        <f>IFERROR(AVERAGEIFS(交易明細!$K$2:$K$65,交易明細!$B$2:$B$65,$A12,交易明細!$J$2:$J$65,"&lt;&gt;未平倉"),0)</f>
        <v/>
      </c>
      <c r="L12" s="2">
        <f>COUNTIFS(交易明細!$B$2:$B$65,$A12,交易明細!$J$2:$J$65,"未平倉")</f>
        <v/>
      </c>
    </row>
    <row r="13">
      <c r="A13" s="2" t="inlineStr">
        <is>
          <t>MAGMA_USDT_PERP</t>
        </is>
      </c>
      <c r="B13" s="2">
        <f>COUNTIFS(交易明細!$B$2:$B$65,$A13)</f>
        <v/>
      </c>
      <c r="C13" s="2">
        <f>COUNTIFS(交易明細!$B$2:$B$65,$A13,交易明細!$C$2:$C$65,"做多")</f>
        <v/>
      </c>
      <c r="D13" s="2">
        <f>COUNTIFS(交易明細!$B$2:$B$65,$A13,交易明細!$C$2:$C$65,"做空")</f>
        <v/>
      </c>
      <c r="E13" s="2">
        <f>F13+G13+COUNTIFS(交易明細!$B$2:$B$65,$A13,交易明細!$J$2:$J$65,"時間出場")</f>
        <v/>
      </c>
      <c r="F13" s="2">
        <f>COUNTIFS(交易明細!$B$2:$B$65,$A13,交易明細!$J$2:$J$65,"止盈")</f>
        <v/>
      </c>
      <c r="G13" s="2">
        <f>COUNTIFS(交易明細!$B$2:$B$65,$A13,交易明細!$J$2:$J$65,"止損")</f>
        <v/>
      </c>
      <c r="H13" s="4">
        <f>IFERROR(F13/E13,0)</f>
        <v/>
      </c>
      <c r="I13" s="4">
        <f>IFERROR(AVERAGEIFS(交易明細!$L$2:$L$65,交易明細!$B$2:$B$65,$A13,交易明細!$J$2:$J$65,"&lt;&gt;未平倉"),0)</f>
        <v/>
      </c>
      <c r="J13" s="4">
        <f>SUMIFS(交易明細!$L$2:$L$65,交易明細!$B$2:$B$65,$A13,交易明細!$J$2:$J$65,"&lt;&gt;未平倉")</f>
        <v/>
      </c>
      <c r="K13" s="5">
        <f>IFERROR(AVERAGEIFS(交易明細!$K$2:$K$65,交易明細!$B$2:$B$65,$A13,交易明細!$J$2:$J$65,"&lt;&gt;未平倉"),0)</f>
        <v/>
      </c>
      <c r="L13" s="2">
        <f>COUNTIFS(交易明細!$B$2:$B$65,$A13,交易明細!$J$2:$J$65,"未平倉")</f>
        <v/>
      </c>
    </row>
    <row r="14">
      <c r="A14" s="2" t="inlineStr">
        <is>
          <t>UP_USDT_PERP</t>
        </is>
      </c>
      <c r="B14" s="2">
        <f>COUNTIFS(交易明細!$B$2:$B$65,$A14)</f>
        <v/>
      </c>
      <c r="C14" s="2">
        <f>COUNTIFS(交易明細!$B$2:$B$65,$A14,交易明細!$C$2:$C$65,"做多")</f>
        <v/>
      </c>
      <c r="D14" s="2">
        <f>COUNTIFS(交易明細!$B$2:$B$65,$A14,交易明細!$C$2:$C$65,"做空")</f>
        <v/>
      </c>
      <c r="E14" s="2">
        <f>F14+G14+COUNTIFS(交易明細!$B$2:$B$65,$A14,交易明細!$J$2:$J$65,"時間出場")</f>
        <v/>
      </c>
      <c r="F14" s="2">
        <f>COUNTIFS(交易明細!$B$2:$B$65,$A14,交易明細!$J$2:$J$65,"止盈")</f>
        <v/>
      </c>
      <c r="G14" s="2">
        <f>COUNTIFS(交易明細!$B$2:$B$65,$A14,交易明細!$J$2:$J$65,"止損")</f>
        <v/>
      </c>
      <c r="H14" s="4">
        <f>IFERROR(F14/E14,0)</f>
        <v/>
      </c>
      <c r="I14" s="4">
        <f>IFERROR(AVERAGEIFS(交易明細!$L$2:$L$65,交易明細!$B$2:$B$65,$A14,交易明細!$J$2:$J$65,"&lt;&gt;未平倉"),0)</f>
        <v/>
      </c>
      <c r="J14" s="4">
        <f>SUMIFS(交易明細!$L$2:$L$65,交易明細!$B$2:$B$65,$A14,交易明細!$J$2:$J$65,"&lt;&gt;未平倉")</f>
        <v/>
      </c>
      <c r="K14" s="5">
        <f>IFERROR(AVERAGEIFS(交易明細!$K$2:$K$65,交易明細!$B$2:$B$65,$A14,交易明細!$J$2:$J$65,"&lt;&gt;未平倉"),0)</f>
        <v/>
      </c>
      <c r="L14" s="2">
        <f>COUNTIFS(交易明細!$B$2:$B$65,$A14,交易明細!$J$2:$J$65,"未平倉")</f>
        <v/>
      </c>
    </row>
    <row r="15">
      <c r="A15" s="2" t="inlineStr">
        <is>
          <t>BROCCOLI_USDT_PERP</t>
        </is>
      </c>
      <c r="B15" s="2">
        <f>COUNTIFS(交易明細!$B$2:$B$65,$A15)</f>
        <v/>
      </c>
      <c r="C15" s="2">
        <f>COUNTIFS(交易明細!$B$2:$B$65,$A15,交易明細!$C$2:$C$65,"做多")</f>
        <v/>
      </c>
      <c r="D15" s="2">
        <f>COUNTIFS(交易明細!$B$2:$B$65,$A15,交易明細!$C$2:$C$65,"做空")</f>
        <v/>
      </c>
      <c r="E15" s="2">
        <f>F15+G15+COUNTIFS(交易明細!$B$2:$B$65,$A15,交易明細!$J$2:$J$65,"時間出場")</f>
        <v/>
      </c>
      <c r="F15" s="2">
        <f>COUNTIFS(交易明細!$B$2:$B$65,$A15,交易明細!$J$2:$J$65,"止盈")</f>
        <v/>
      </c>
      <c r="G15" s="2">
        <f>COUNTIFS(交易明細!$B$2:$B$65,$A15,交易明細!$J$2:$J$65,"止損")</f>
        <v/>
      </c>
      <c r="H15" s="4">
        <f>IFERROR(F15/E15,0)</f>
        <v/>
      </c>
      <c r="I15" s="4">
        <f>IFERROR(AVERAGEIFS(交易明細!$L$2:$L$65,交易明細!$B$2:$B$65,$A15,交易明細!$J$2:$J$65,"&lt;&gt;未平倉"),0)</f>
        <v/>
      </c>
      <c r="J15" s="4">
        <f>SUMIFS(交易明細!$L$2:$L$65,交易明細!$B$2:$B$65,$A15,交易明細!$J$2:$J$65,"&lt;&gt;未平倉")</f>
        <v/>
      </c>
      <c r="K15" s="5">
        <f>IFERROR(AVERAGEIFS(交易明細!$K$2:$K$65,交易明細!$B$2:$B$65,$A15,交易明細!$J$2:$J$65,"&lt;&gt;未平倉"),0)</f>
        <v/>
      </c>
      <c r="L15" s="2">
        <f>COUNTIFS(交易明細!$B$2:$B$65,$A15,交易明細!$J$2:$J$65,"未平倉")</f>
        <v/>
      </c>
    </row>
    <row r="16">
      <c r="A16" s="2" t="inlineStr">
        <is>
          <t>BB_USDT_PERP</t>
        </is>
      </c>
      <c r="B16" s="2">
        <f>COUNTIFS(交易明細!$B$2:$B$65,$A16)</f>
        <v/>
      </c>
      <c r="C16" s="2">
        <f>COUNTIFS(交易明細!$B$2:$B$65,$A16,交易明細!$C$2:$C$65,"做多")</f>
        <v/>
      </c>
      <c r="D16" s="2">
        <f>COUNTIFS(交易明細!$B$2:$B$65,$A16,交易明細!$C$2:$C$65,"做空")</f>
        <v/>
      </c>
      <c r="E16" s="2">
        <f>F16+G16+COUNTIFS(交易明細!$B$2:$B$65,$A16,交易明細!$J$2:$J$65,"時間出場")</f>
        <v/>
      </c>
      <c r="F16" s="2">
        <f>COUNTIFS(交易明細!$B$2:$B$65,$A16,交易明細!$J$2:$J$65,"止盈")</f>
        <v/>
      </c>
      <c r="G16" s="2">
        <f>COUNTIFS(交易明細!$B$2:$B$65,$A16,交易明細!$J$2:$J$65,"止損")</f>
        <v/>
      </c>
      <c r="H16" s="4">
        <f>IFERROR(F16/E16,0)</f>
        <v/>
      </c>
      <c r="I16" s="4">
        <f>IFERROR(AVERAGEIFS(交易明細!$L$2:$L$65,交易明細!$B$2:$B$65,$A16,交易明細!$J$2:$J$65,"&lt;&gt;未平倉"),0)</f>
        <v/>
      </c>
      <c r="J16" s="4">
        <f>SUMIFS(交易明細!$L$2:$L$65,交易明細!$B$2:$B$65,$A16,交易明細!$J$2:$J$65,"&lt;&gt;未平倉")</f>
        <v/>
      </c>
      <c r="K16" s="5">
        <f>IFERROR(AVERAGEIFS(交易明細!$K$2:$K$65,交易明細!$B$2:$B$65,$A16,交易明細!$J$2:$J$65,"&lt;&gt;未平倉"),0)</f>
        <v/>
      </c>
      <c r="L16" s="2">
        <f>COUNTIFS(交易明細!$B$2:$B$65,$A16,交易明細!$J$2:$J$65,"未平倉")</f>
        <v/>
      </c>
    </row>
    <row r="17">
      <c r="A17" s="2" t="inlineStr">
        <is>
          <t>RIVER_USDT_PERP</t>
        </is>
      </c>
      <c r="B17" s="2">
        <f>COUNTIFS(交易明細!$B$2:$B$65,$A17)</f>
        <v/>
      </c>
      <c r="C17" s="2">
        <f>COUNTIFS(交易明細!$B$2:$B$65,$A17,交易明細!$C$2:$C$65,"做多")</f>
        <v/>
      </c>
      <c r="D17" s="2">
        <f>COUNTIFS(交易明細!$B$2:$B$65,$A17,交易明細!$C$2:$C$65,"做空")</f>
        <v/>
      </c>
      <c r="E17" s="2">
        <f>F17+G17+COUNTIFS(交易明細!$B$2:$B$65,$A17,交易明細!$J$2:$J$65,"時間出場")</f>
        <v/>
      </c>
      <c r="F17" s="2">
        <f>COUNTIFS(交易明細!$B$2:$B$65,$A17,交易明細!$J$2:$J$65,"止盈")</f>
        <v/>
      </c>
      <c r="G17" s="2">
        <f>COUNTIFS(交易明細!$B$2:$B$65,$A17,交易明細!$J$2:$J$65,"止損")</f>
        <v/>
      </c>
      <c r="H17" s="4">
        <f>IFERROR(F17/E17,0)</f>
        <v/>
      </c>
      <c r="I17" s="4">
        <f>IFERROR(AVERAGEIFS(交易明細!$L$2:$L$65,交易明細!$B$2:$B$65,$A17,交易明細!$J$2:$J$65,"&lt;&gt;未平倉"),0)</f>
        <v/>
      </c>
      <c r="J17" s="4">
        <f>SUMIFS(交易明細!$L$2:$L$65,交易明細!$B$2:$B$65,$A17,交易明細!$J$2:$J$65,"&lt;&gt;未平倉")</f>
        <v/>
      </c>
      <c r="K17" s="5">
        <f>IFERROR(AVERAGEIFS(交易明細!$K$2:$K$65,交易明細!$B$2:$B$65,$A17,交易明細!$J$2:$J$65,"&lt;&gt;未平倉"),0)</f>
        <v/>
      </c>
      <c r="L17" s="2">
        <f>COUNTIFS(交易明細!$B$2:$B$65,$A17,交易明細!$J$2:$J$65,"未平倉")</f>
        <v/>
      </c>
    </row>
    <row r="18">
      <c r="A18" s="2" t="inlineStr">
        <is>
          <t>LAB_USDT_PERP</t>
        </is>
      </c>
      <c r="B18" s="2">
        <f>COUNTIFS(交易明細!$B$2:$B$65,$A18)</f>
        <v/>
      </c>
      <c r="C18" s="2">
        <f>COUNTIFS(交易明細!$B$2:$B$65,$A18,交易明細!$C$2:$C$65,"做多")</f>
        <v/>
      </c>
      <c r="D18" s="2">
        <f>COUNTIFS(交易明細!$B$2:$B$65,$A18,交易明細!$C$2:$C$65,"做空")</f>
        <v/>
      </c>
      <c r="E18" s="2">
        <f>F18+G18+COUNTIFS(交易明細!$B$2:$B$65,$A18,交易明細!$J$2:$J$65,"時間出場")</f>
        <v/>
      </c>
      <c r="F18" s="2">
        <f>COUNTIFS(交易明細!$B$2:$B$65,$A18,交易明細!$J$2:$J$65,"止盈")</f>
        <v/>
      </c>
      <c r="G18" s="2">
        <f>COUNTIFS(交易明細!$B$2:$B$65,$A18,交易明細!$J$2:$J$65,"止損")</f>
        <v/>
      </c>
      <c r="H18" s="4">
        <f>IFERROR(F18/E18,0)</f>
        <v/>
      </c>
      <c r="I18" s="4">
        <f>IFERROR(AVERAGEIFS(交易明細!$L$2:$L$65,交易明細!$B$2:$B$65,$A18,交易明細!$J$2:$J$65,"&lt;&gt;未平倉"),0)</f>
        <v/>
      </c>
      <c r="J18" s="4">
        <f>SUMIFS(交易明細!$L$2:$L$65,交易明細!$B$2:$B$65,$A18,交易明細!$J$2:$J$65,"&lt;&gt;未平倉")</f>
        <v/>
      </c>
      <c r="K18" s="5">
        <f>IFERROR(AVERAGEIFS(交易明細!$K$2:$K$65,交易明細!$B$2:$B$65,$A18,交易明細!$J$2:$J$65,"&lt;&gt;未平倉"),0)</f>
        <v/>
      </c>
      <c r="L18" s="2">
        <f>COUNTIFS(交易明細!$B$2:$B$65,$A18,交易明細!$J$2:$J$65,"未平倉")</f>
        <v/>
      </c>
    </row>
    <row r="19">
      <c r="A19" s="2" t="inlineStr">
        <is>
          <t>SAGA_USDT_PERP</t>
        </is>
      </c>
      <c r="B19" s="2">
        <f>COUNTIFS(交易明細!$B$2:$B$65,$A19)</f>
        <v/>
      </c>
      <c r="C19" s="2">
        <f>COUNTIFS(交易明細!$B$2:$B$65,$A19,交易明細!$C$2:$C$65,"做多")</f>
        <v/>
      </c>
      <c r="D19" s="2">
        <f>COUNTIFS(交易明細!$B$2:$B$65,$A19,交易明細!$C$2:$C$65,"做空")</f>
        <v/>
      </c>
      <c r="E19" s="2">
        <f>F19+G19+COUNTIFS(交易明細!$B$2:$B$65,$A19,交易明細!$J$2:$J$65,"時間出場")</f>
        <v/>
      </c>
      <c r="F19" s="2">
        <f>COUNTIFS(交易明細!$B$2:$B$65,$A19,交易明細!$J$2:$J$65,"止盈")</f>
        <v/>
      </c>
      <c r="G19" s="2">
        <f>COUNTIFS(交易明細!$B$2:$B$65,$A19,交易明細!$J$2:$J$65,"止損")</f>
        <v/>
      </c>
      <c r="H19" s="4">
        <f>IFERROR(F19/E19,0)</f>
        <v/>
      </c>
      <c r="I19" s="4">
        <f>IFERROR(AVERAGEIFS(交易明細!$L$2:$L$65,交易明細!$B$2:$B$65,$A19,交易明細!$J$2:$J$65,"&lt;&gt;未平倉"),0)</f>
        <v/>
      </c>
      <c r="J19" s="4">
        <f>SUMIFS(交易明細!$L$2:$L$65,交易明細!$B$2:$B$65,$A19,交易明細!$J$2:$J$65,"&lt;&gt;未平倉")</f>
        <v/>
      </c>
      <c r="K19" s="5">
        <f>IFERROR(AVERAGEIFS(交易明細!$K$2:$K$65,交易明細!$B$2:$B$65,$A19,交易明細!$J$2:$J$65,"&lt;&gt;未平倉"),0)</f>
        <v/>
      </c>
      <c r="L19" s="2">
        <f>COUNTIFS(交易明細!$B$2:$B$65,$A19,交易明細!$J$2:$J$65,"未平倉")</f>
        <v/>
      </c>
    </row>
    <row r="20">
      <c r="A20" s="2" t="inlineStr">
        <is>
          <t>PLAY_USDT_PERP</t>
        </is>
      </c>
      <c r="B20" s="2">
        <f>COUNTIFS(交易明細!$B$2:$B$65,$A20)</f>
        <v/>
      </c>
      <c r="C20" s="2">
        <f>COUNTIFS(交易明細!$B$2:$B$65,$A20,交易明細!$C$2:$C$65,"做多")</f>
        <v/>
      </c>
      <c r="D20" s="2">
        <f>COUNTIFS(交易明細!$B$2:$B$65,$A20,交易明細!$C$2:$C$65,"做空")</f>
        <v/>
      </c>
      <c r="E20" s="2">
        <f>F20+G20+COUNTIFS(交易明細!$B$2:$B$65,$A20,交易明細!$J$2:$J$65,"時間出場")</f>
        <v/>
      </c>
      <c r="F20" s="2">
        <f>COUNTIFS(交易明細!$B$2:$B$65,$A20,交易明細!$J$2:$J$65,"止盈")</f>
        <v/>
      </c>
      <c r="G20" s="2">
        <f>COUNTIFS(交易明細!$B$2:$B$65,$A20,交易明細!$J$2:$J$65,"止損")</f>
        <v/>
      </c>
      <c r="H20" s="4">
        <f>IFERROR(F20/E20,0)</f>
        <v/>
      </c>
      <c r="I20" s="4">
        <f>IFERROR(AVERAGEIFS(交易明細!$L$2:$L$65,交易明細!$B$2:$B$65,$A20,交易明細!$J$2:$J$65,"&lt;&gt;未平倉"),0)</f>
        <v/>
      </c>
      <c r="J20" s="4">
        <f>SUMIFS(交易明細!$L$2:$L$65,交易明細!$B$2:$B$65,$A20,交易明細!$J$2:$J$65,"&lt;&gt;未平倉")</f>
        <v/>
      </c>
      <c r="K20" s="5">
        <f>IFERROR(AVERAGEIFS(交易明細!$K$2:$K$65,交易明細!$B$2:$B$65,$A20,交易明細!$J$2:$J$65,"&lt;&gt;未平倉"),0)</f>
        <v/>
      </c>
      <c r="L20" s="2">
        <f>COUNTIFS(交易明細!$B$2:$B$65,$A20,交易明細!$J$2:$J$65,"未平倉")</f>
        <v/>
      </c>
    </row>
    <row r="21">
      <c r="A21" s="2" t="inlineStr">
        <is>
          <t>CASHCAT_USDT_PERP</t>
        </is>
      </c>
      <c r="B21" s="2">
        <f>COUNTIFS(交易明細!$B$2:$B$65,$A21)</f>
        <v/>
      </c>
      <c r="C21" s="2">
        <f>COUNTIFS(交易明細!$B$2:$B$65,$A21,交易明細!$C$2:$C$65,"做多")</f>
        <v/>
      </c>
      <c r="D21" s="2">
        <f>COUNTIFS(交易明細!$B$2:$B$65,$A21,交易明細!$C$2:$C$65,"做空")</f>
        <v/>
      </c>
      <c r="E21" s="2">
        <f>F21+G21+COUNTIFS(交易明細!$B$2:$B$65,$A21,交易明細!$J$2:$J$65,"時間出場")</f>
        <v/>
      </c>
      <c r="F21" s="2">
        <f>COUNTIFS(交易明細!$B$2:$B$65,$A21,交易明細!$J$2:$J$65,"止盈")</f>
        <v/>
      </c>
      <c r="G21" s="2">
        <f>COUNTIFS(交易明細!$B$2:$B$65,$A21,交易明細!$J$2:$J$65,"止損")</f>
        <v/>
      </c>
      <c r="H21" s="4">
        <f>IFERROR(F21/E21,0)</f>
        <v/>
      </c>
      <c r="I21" s="4">
        <f>IFERROR(AVERAGEIFS(交易明細!$L$2:$L$65,交易明細!$B$2:$B$65,$A21,交易明細!$J$2:$J$65,"&lt;&gt;未平倉"),0)</f>
        <v/>
      </c>
      <c r="J21" s="4">
        <f>SUMIFS(交易明細!$L$2:$L$65,交易明細!$B$2:$B$65,$A21,交易明細!$J$2:$J$65,"&lt;&gt;未平倉")</f>
        <v/>
      </c>
      <c r="K21" s="5">
        <f>IFERROR(AVERAGEIFS(交易明細!$K$2:$K$65,交易明細!$B$2:$B$65,$A21,交易明細!$J$2:$J$65,"&lt;&gt;未平倉"),0)</f>
        <v/>
      </c>
      <c r="L21" s="2">
        <f>COUNTIFS(交易明細!$B$2:$B$65,$A21,交易明細!$J$2:$J$65,"未平倉")</f>
        <v/>
      </c>
    </row>
    <row r="22">
      <c r="A22" s="2" t="inlineStr">
        <is>
          <t>MUBARAK_USDT_PERP</t>
        </is>
      </c>
      <c r="B22" s="2">
        <f>COUNTIFS(交易明細!$B$2:$B$65,$A22)</f>
        <v/>
      </c>
      <c r="C22" s="2">
        <f>COUNTIFS(交易明細!$B$2:$B$65,$A22,交易明細!$C$2:$C$65,"做多")</f>
        <v/>
      </c>
      <c r="D22" s="2">
        <f>COUNTIFS(交易明細!$B$2:$B$65,$A22,交易明細!$C$2:$C$65,"做空")</f>
        <v/>
      </c>
      <c r="E22" s="2">
        <f>F22+G22+COUNTIFS(交易明細!$B$2:$B$65,$A22,交易明細!$J$2:$J$65,"時間出場")</f>
        <v/>
      </c>
      <c r="F22" s="2">
        <f>COUNTIFS(交易明細!$B$2:$B$65,$A22,交易明細!$J$2:$J$65,"止盈")</f>
        <v/>
      </c>
      <c r="G22" s="2">
        <f>COUNTIFS(交易明細!$B$2:$B$65,$A22,交易明細!$J$2:$J$65,"止損")</f>
        <v/>
      </c>
      <c r="H22" s="4">
        <f>IFERROR(F22/E22,0)</f>
        <v/>
      </c>
      <c r="I22" s="4">
        <f>IFERROR(AVERAGEIFS(交易明細!$L$2:$L$65,交易明細!$B$2:$B$65,$A22,交易明細!$J$2:$J$65,"&lt;&gt;未平倉"),0)</f>
        <v/>
      </c>
      <c r="J22" s="4">
        <f>SUMIFS(交易明細!$L$2:$L$65,交易明細!$B$2:$B$65,$A22,交易明細!$J$2:$J$65,"&lt;&gt;未平倉")</f>
        <v/>
      </c>
      <c r="K22" s="5">
        <f>IFERROR(AVERAGEIFS(交易明細!$K$2:$K$65,交易明細!$B$2:$B$65,$A22,交易明細!$J$2:$J$65,"&lt;&gt;未平倉"),0)</f>
        <v/>
      </c>
      <c r="L22" s="2">
        <f>COUNTIFS(交易明細!$B$2:$B$65,$A22,交易明細!$J$2:$J$65,"未平倉")</f>
        <v/>
      </c>
    </row>
    <row r="23">
      <c r="A23" s="2" t="inlineStr">
        <is>
          <t>Q_USDT_PERP</t>
        </is>
      </c>
      <c r="B23" s="2">
        <f>COUNTIFS(交易明細!$B$2:$B$65,$A23)</f>
        <v/>
      </c>
      <c r="C23" s="2">
        <f>COUNTIFS(交易明細!$B$2:$B$65,$A23,交易明細!$C$2:$C$65,"做多")</f>
        <v/>
      </c>
      <c r="D23" s="2">
        <f>COUNTIFS(交易明細!$B$2:$B$65,$A23,交易明細!$C$2:$C$65,"做空")</f>
        <v/>
      </c>
      <c r="E23" s="2">
        <f>F23+G23+COUNTIFS(交易明細!$B$2:$B$65,$A23,交易明細!$J$2:$J$65,"時間出場")</f>
        <v/>
      </c>
      <c r="F23" s="2">
        <f>COUNTIFS(交易明細!$B$2:$B$65,$A23,交易明細!$J$2:$J$65,"止盈")</f>
        <v/>
      </c>
      <c r="G23" s="2">
        <f>COUNTIFS(交易明細!$B$2:$B$65,$A23,交易明細!$J$2:$J$65,"止損")</f>
        <v/>
      </c>
      <c r="H23" s="4">
        <f>IFERROR(F23/E23,0)</f>
        <v/>
      </c>
      <c r="I23" s="4">
        <f>IFERROR(AVERAGEIFS(交易明細!$L$2:$L$65,交易明細!$B$2:$B$65,$A23,交易明細!$J$2:$J$65,"&lt;&gt;未平倉"),0)</f>
        <v/>
      </c>
      <c r="J23" s="4">
        <f>SUMIFS(交易明細!$L$2:$L$65,交易明細!$B$2:$B$65,$A23,交易明細!$J$2:$J$65,"&lt;&gt;未平倉")</f>
        <v/>
      </c>
      <c r="K23" s="5">
        <f>IFERROR(AVERAGEIFS(交易明細!$K$2:$K$65,交易明細!$B$2:$B$65,$A23,交易明細!$J$2:$J$65,"&lt;&gt;未平倉"),0)</f>
        <v/>
      </c>
      <c r="L23" s="2">
        <f>COUNTIFS(交易明細!$B$2:$B$65,$A23,交易明細!$J$2:$J$65,"未平倉")</f>
        <v/>
      </c>
    </row>
    <row r="24">
      <c r="A24" s="2" t="inlineStr">
        <is>
          <t>FIL_USDT_PERP</t>
        </is>
      </c>
      <c r="B24" s="2">
        <f>COUNTIFS(交易明細!$B$2:$B$65,$A24)</f>
        <v/>
      </c>
      <c r="C24" s="2">
        <f>COUNTIFS(交易明細!$B$2:$B$65,$A24,交易明細!$C$2:$C$65,"做多")</f>
        <v/>
      </c>
      <c r="D24" s="2">
        <f>COUNTIFS(交易明細!$B$2:$B$65,$A24,交易明細!$C$2:$C$65,"做空")</f>
        <v/>
      </c>
      <c r="E24" s="2">
        <f>F24+G24+COUNTIFS(交易明細!$B$2:$B$65,$A24,交易明細!$J$2:$J$65,"時間出場")</f>
        <v/>
      </c>
      <c r="F24" s="2">
        <f>COUNTIFS(交易明細!$B$2:$B$65,$A24,交易明細!$J$2:$J$65,"止盈")</f>
        <v/>
      </c>
      <c r="G24" s="2">
        <f>COUNTIFS(交易明細!$B$2:$B$65,$A24,交易明細!$J$2:$J$65,"止損")</f>
        <v/>
      </c>
      <c r="H24" s="4">
        <f>IFERROR(F24/E24,0)</f>
        <v/>
      </c>
      <c r="I24" s="4">
        <f>IFERROR(AVERAGEIFS(交易明細!$L$2:$L$65,交易明細!$B$2:$B$65,$A24,交易明細!$J$2:$J$65,"&lt;&gt;未平倉"),0)</f>
        <v/>
      </c>
      <c r="J24" s="4">
        <f>SUMIFS(交易明細!$L$2:$L$65,交易明細!$B$2:$B$65,$A24,交易明細!$J$2:$J$65,"&lt;&gt;未平倉")</f>
        <v/>
      </c>
      <c r="K24" s="5">
        <f>IFERROR(AVERAGEIFS(交易明細!$K$2:$K$65,交易明細!$B$2:$B$65,$A24,交易明細!$J$2:$J$65,"&lt;&gt;未平倉"),0)</f>
        <v/>
      </c>
      <c r="L24" s="2">
        <f>COUNTIFS(交易明細!$B$2:$B$65,$A24,交易明細!$J$2:$J$65,"未平倉")</f>
        <v/>
      </c>
    </row>
    <row r="25">
      <c r="A25" s="2" t="inlineStr">
        <is>
          <t>XVG_USDT_PERP</t>
        </is>
      </c>
      <c r="B25" s="2">
        <f>COUNTIFS(交易明細!$B$2:$B$65,$A25)</f>
        <v/>
      </c>
      <c r="C25" s="2">
        <f>COUNTIFS(交易明細!$B$2:$B$65,$A25,交易明細!$C$2:$C$65,"做多")</f>
        <v/>
      </c>
      <c r="D25" s="2">
        <f>COUNTIFS(交易明細!$B$2:$B$65,$A25,交易明細!$C$2:$C$65,"做空")</f>
        <v/>
      </c>
      <c r="E25" s="2">
        <f>F25+G25+COUNTIFS(交易明細!$B$2:$B$65,$A25,交易明細!$J$2:$J$65,"時間出場")</f>
        <v/>
      </c>
      <c r="F25" s="2">
        <f>COUNTIFS(交易明細!$B$2:$B$65,$A25,交易明細!$J$2:$J$65,"止盈")</f>
        <v/>
      </c>
      <c r="G25" s="2">
        <f>COUNTIFS(交易明細!$B$2:$B$65,$A25,交易明細!$J$2:$J$65,"止損")</f>
        <v/>
      </c>
      <c r="H25" s="4">
        <f>IFERROR(F25/E25,0)</f>
        <v/>
      </c>
      <c r="I25" s="4">
        <f>IFERROR(AVERAGEIFS(交易明細!$L$2:$L$65,交易明細!$B$2:$B$65,$A25,交易明細!$J$2:$J$65,"&lt;&gt;未平倉"),0)</f>
        <v/>
      </c>
      <c r="J25" s="4">
        <f>SUMIFS(交易明細!$L$2:$L$65,交易明細!$B$2:$B$65,$A25,交易明細!$J$2:$J$65,"&lt;&gt;未平倉")</f>
        <v/>
      </c>
      <c r="K25" s="5">
        <f>IFERROR(AVERAGEIFS(交易明細!$K$2:$K$65,交易明細!$B$2:$B$65,$A25,交易明細!$J$2:$J$65,"&lt;&gt;未平倉"),0)</f>
        <v/>
      </c>
      <c r="L25" s="2">
        <f>COUNTIFS(交易明細!$B$2:$B$65,$A25,交易明細!$J$2:$J$65,"未平倉")</f>
        <v/>
      </c>
    </row>
    <row r="26">
      <c r="A26" s="2" t="inlineStr">
        <is>
          <t>INX_USDT_PERP</t>
        </is>
      </c>
      <c r="B26" s="2">
        <f>COUNTIFS(交易明細!$B$2:$B$65,$A26)</f>
        <v/>
      </c>
      <c r="C26" s="2">
        <f>COUNTIFS(交易明細!$B$2:$B$65,$A26,交易明細!$C$2:$C$65,"做多")</f>
        <v/>
      </c>
      <c r="D26" s="2">
        <f>COUNTIFS(交易明細!$B$2:$B$65,$A26,交易明細!$C$2:$C$65,"做空")</f>
        <v/>
      </c>
      <c r="E26" s="2">
        <f>F26+G26+COUNTIFS(交易明細!$B$2:$B$65,$A26,交易明細!$J$2:$J$65,"時間出場")</f>
        <v/>
      </c>
      <c r="F26" s="2">
        <f>COUNTIFS(交易明細!$B$2:$B$65,$A26,交易明細!$J$2:$J$65,"止盈")</f>
        <v/>
      </c>
      <c r="G26" s="2">
        <f>COUNTIFS(交易明細!$B$2:$B$65,$A26,交易明細!$J$2:$J$65,"止損")</f>
        <v/>
      </c>
      <c r="H26" s="4">
        <f>IFERROR(F26/E26,0)</f>
        <v/>
      </c>
      <c r="I26" s="4">
        <f>IFERROR(AVERAGEIFS(交易明細!$L$2:$L$65,交易明細!$B$2:$B$65,$A26,交易明細!$J$2:$J$65,"&lt;&gt;未平倉"),0)</f>
        <v/>
      </c>
      <c r="J26" s="4">
        <f>SUMIFS(交易明細!$L$2:$L$65,交易明細!$B$2:$B$65,$A26,交易明細!$J$2:$J$65,"&lt;&gt;未平倉")</f>
        <v/>
      </c>
      <c r="K26" s="5">
        <f>IFERROR(AVERAGEIFS(交易明細!$K$2:$K$65,交易明細!$B$2:$B$65,$A26,交易明細!$J$2:$J$65,"&lt;&gt;未平倉"),0)</f>
        <v/>
      </c>
      <c r="L26" s="2">
        <f>COUNTIFS(交易明細!$B$2:$B$65,$A26,交易明細!$J$2:$J$65,"未平倉")</f>
        <v/>
      </c>
    </row>
    <row r="27">
      <c r="A27" s="2" t="inlineStr">
        <is>
          <t>ELSA_USDT_PERP</t>
        </is>
      </c>
      <c r="B27" s="2">
        <f>COUNTIFS(交易明細!$B$2:$B$65,$A27)</f>
        <v/>
      </c>
      <c r="C27" s="2">
        <f>COUNTIFS(交易明細!$B$2:$B$65,$A27,交易明細!$C$2:$C$65,"做多")</f>
        <v/>
      </c>
      <c r="D27" s="2">
        <f>COUNTIFS(交易明細!$B$2:$B$65,$A27,交易明細!$C$2:$C$65,"做空")</f>
        <v/>
      </c>
      <c r="E27" s="2">
        <f>F27+G27+COUNTIFS(交易明細!$B$2:$B$65,$A27,交易明細!$J$2:$J$65,"時間出場")</f>
        <v/>
      </c>
      <c r="F27" s="2">
        <f>COUNTIFS(交易明細!$B$2:$B$65,$A27,交易明細!$J$2:$J$65,"止盈")</f>
        <v/>
      </c>
      <c r="G27" s="2">
        <f>COUNTIFS(交易明細!$B$2:$B$65,$A27,交易明細!$J$2:$J$65,"止損")</f>
        <v/>
      </c>
      <c r="H27" s="4">
        <f>IFERROR(F27/E27,0)</f>
        <v/>
      </c>
      <c r="I27" s="4">
        <f>IFERROR(AVERAGEIFS(交易明細!$L$2:$L$65,交易明細!$B$2:$B$65,$A27,交易明細!$J$2:$J$65,"&lt;&gt;未平倉"),0)</f>
        <v/>
      </c>
      <c r="J27" s="4">
        <f>SUMIFS(交易明細!$L$2:$L$65,交易明細!$B$2:$B$65,$A27,交易明細!$J$2:$J$65,"&lt;&gt;未平倉")</f>
        <v/>
      </c>
      <c r="K27" s="5">
        <f>IFERROR(AVERAGEIFS(交易明細!$K$2:$K$65,交易明細!$B$2:$B$65,$A27,交易明細!$J$2:$J$65,"&lt;&gt;未平倉"),0)</f>
        <v/>
      </c>
      <c r="L27" s="2">
        <f>COUNTIFS(交易明細!$B$2:$B$65,$A27,交易明細!$J$2:$J$65,"未平倉")</f>
        <v/>
      </c>
    </row>
    <row r="28">
      <c r="A28" s="2" t="inlineStr">
        <is>
          <t>IRYS_USDT_PERP</t>
        </is>
      </c>
      <c r="B28" s="2">
        <f>COUNTIFS(交易明細!$B$2:$B$65,$A28)</f>
        <v/>
      </c>
      <c r="C28" s="2">
        <f>COUNTIFS(交易明細!$B$2:$B$65,$A28,交易明細!$C$2:$C$65,"做多")</f>
        <v/>
      </c>
      <c r="D28" s="2">
        <f>COUNTIFS(交易明細!$B$2:$B$65,$A28,交易明細!$C$2:$C$65,"做空")</f>
        <v/>
      </c>
      <c r="E28" s="2">
        <f>F28+G28+COUNTIFS(交易明細!$B$2:$B$65,$A28,交易明細!$J$2:$J$65,"時間出場")</f>
        <v/>
      </c>
      <c r="F28" s="2">
        <f>COUNTIFS(交易明細!$B$2:$B$65,$A28,交易明細!$J$2:$J$65,"止盈")</f>
        <v/>
      </c>
      <c r="G28" s="2">
        <f>COUNTIFS(交易明細!$B$2:$B$65,$A28,交易明細!$J$2:$J$65,"止損")</f>
        <v/>
      </c>
      <c r="H28" s="4">
        <f>IFERROR(F28/E28,0)</f>
        <v/>
      </c>
      <c r="I28" s="4">
        <f>IFERROR(AVERAGEIFS(交易明細!$L$2:$L$65,交易明細!$B$2:$B$65,$A28,交易明細!$J$2:$J$65,"&lt;&gt;未平倉"),0)</f>
        <v/>
      </c>
      <c r="J28" s="4">
        <f>SUMIFS(交易明細!$L$2:$L$65,交易明細!$B$2:$B$65,$A28,交易明細!$J$2:$J$65,"&lt;&gt;未平倉")</f>
        <v/>
      </c>
      <c r="K28" s="5">
        <f>IFERROR(AVERAGEIFS(交易明細!$K$2:$K$65,交易明細!$B$2:$B$65,$A28,交易明細!$J$2:$J$65,"&lt;&gt;未平倉"),0)</f>
        <v/>
      </c>
      <c r="L28" s="2">
        <f>COUNTIFS(交易明細!$B$2:$B$65,$A28,交易明細!$J$2:$J$65,"未平倉")</f>
        <v/>
      </c>
    </row>
    <row r="29">
      <c r="A29" s="2" t="inlineStr">
        <is>
          <t>QNT_USDT_PERP</t>
        </is>
      </c>
      <c r="B29" s="2">
        <f>COUNTIFS(交易明細!$B$2:$B$65,$A29)</f>
        <v/>
      </c>
      <c r="C29" s="2">
        <f>COUNTIFS(交易明細!$B$2:$B$65,$A29,交易明細!$C$2:$C$65,"做多")</f>
        <v/>
      </c>
      <c r="D29" s="2">
        <f>COUNTIFS(交易明細!$B$2:$B$65,$A29,交易明細!$C$2:$C$65,"做空")</f>
        <v/>
      </c>
      <c r="E29" s="2">
        <f>F29+G29+COUNTIFS(交易明細!$B$2:$B$65,$A29,交易明細!$J$2:$J$65,"時間出場")</f>
        <v/>
      </c>
      <c r="F29" s="2">
        <f>COUNTIFS(交易明細!$B$2:$B$65,$A29,交易明細!$J$2:$J$65,"止盈")</f>
        <v/>
      </c>
      <c r="G29" s="2">
        <f>COUNTIFS(交易明細!$B$2:$B$65,$A29,交易明細!$J$2:$J$65,"止損")</f>
        <v/>
      </c>
      <c r="H29" s="4">
        <f>IFERROR(F29/E29,0)</f>
        <v/>
      </c>
      <c r="I29" s="4">
        <f>IFERROR(AVERAGEIFS(交易明細!$L$2:$L$65,交易明細!$B$2:$B$65,$A29,交易明細!$J$2:$J$65,"&lt;&gt;未平倉"),0)</f>
        <v/>
      </c>
      <c r="J29" s="4">
        <f>SUMIFS(交易明細!$L$2:$L$65,交易明細!$B$2:$B$65,$A29,交易明細!$J$2:$J$65,"&lt;&gt;未平倉")</f>
        <v/>
      </c>
      <c r="K29" s="5">
        <f>IFERROR(AVERAGEIFS(交易明細!$K$2:$K$65,交易明細!$B$2:$B$65,$A29,交易明細!$J$2:$J$65,"&lt;&gt;未平倉"),0)</f>
        <v/>
      </c>
      <c r="L29" s="2">
        <f>COUNTIFS(交易明細!$B$2:$B$65,$A29,交易明細!$J$2:$J$65,"未平倉")</f>
        <v/>
      </c>
    </row>
    <row r="30">
      <c r="A30" s="2" t="inlineStr">
        <is>
          <t>NMR_USDT_PERP</t>
        </is>
      </c>
      <c r="B30" s="2">
        <f>COUNTIFS(交易明細!$B$2:$B$65,$A30)</f>
        <v/>
      </c>
      <c r="C30" s="2">
        <f>COUNTIFS(交易明細!$B$2:$B$65,$A30,交易明細!$C$2:$C$65,"做多")</f>
        <v/>
      </c>
      <c r="D30" s="2">
        <f>COUNTIFS(交易明細!$B$2:$B$65,$A30,交易明細!$C$2:$C$65,"做空")</f>
        <v/>
      </c>
      <c r="E30" s="2">
        <f>F30+G30+COUNTIFS(交易明細!$B$2:$B$65,$A30,交易明細!$J$2:$J$65,"時間出場")</f>
        <v/>
      </c>
      <c r="F30" s="2">
        <f>COUNTIFS(交易明細!$B$2:$B$65,$A30,交易明細!$J$2:$J$65,"止盈")</f>
        <v/>
      </c>
      <c r="G30" s="2">
        <f>COUNTIFS(交易明細!$B$2:$B$65,$A30,交易明細!$J$2:$J$65,"止損")</f>
        <v/>
      </c>
      <c r="H30" s="4">
        <f>IFERROR(F30/E30,0)</f>
        <v/>
      </c>
      <c r="I30" s="4">
        <f>IFERROR(AVERAGEIFS(交易明細!$L$2:$L$65,交易明細!$B$2:$B$65,$A30,交易明細!$J$2:$J$65,"&lt;&gt;未平倉"),0)</f>
        <v/>
      </c>
      <c r="J30" s="4">
        <f>SUMIFS(交易明細!$L$2:$L$65,交易明細!$B$2:$B$65,$A30,交易明細!$J$2:$J$65,"&lt;&gt;未平倉")</f>
        <v/>
      </c>
      <c r="K30" s="5">
        <f>IFERROR(AVERAGEIFS(交易明細!$K$2:$K$65,交易明細!$B$2:$B$65,$A30,交易明細!$J$2:$J$65,"&lt;&gt;未平倉"),0)</f>
        <v/>
      </c>
      <c r="L30" s="2">
        <f>COUNTIFS(交易明細!$B$2:$B$65,$A30,交易明細!$J$2:$J$65,"未平倉")</f>
        <v/>
      </c>
    </row>
    <row r="31">
      <c r="A31" s="2" t="inlineStr">
        <is>
          <t>PUMP_USDT_PERP</t>
        </is>
      </c>
      <c r="B31" s="2">
        <f>COUNTIFS(交易明細!$B$2:$B$65,$A31)</f>
        <v/>
      </c>
      <c r="C31" s="2">
        <f>COUNTIFS(交易明細!$B$2:$B$65,$A31,交易明細!$C$2:$C$65,"做多")</f>
        <v/>
      </c>
      <c r="D31" s="2">
        <f>COUNTIFS(交易明細!$B$2:$B$65,$A31,交易明細!$C$2:$C$65,"做空")</f>
        <v/>
      </c>
      <c r="E31" s="2">
        <f>F31+G31+COUNTIFS(交易明細!$B$2:$B$65,$A31,交易明細!$J$2:$J$65,"時間出場")</f>
        <v/>
      </c>
      <c r="F31" s="2">
        <f>COUNTIFS(交易明細!$B$2:$B$65,$A31,交易明細!$J$2:$J$65,"止盈")</f>
        <v/>
      </c>
      <c r="G31" s="2">
        <f>COUNTIFS(交易明細!$B$2:$B$65,$A31,交易明細!$J$2:$J$65,"止損")</f>
        <v/>
      </c>
      <c r="H31" s="4">
        <f>IFERROR(F31/E31,0)</f>
        <v/>
      </c>
      <c r="I31" s="4">
        <f>IFERROR(AVERAGEIFS(交易明細!$L$2:$L$65,交易明細!$B$2:$B$65,$A31,交易明細!$J$2:$J$65,"&lt;&gt;未平倉"),0)</f>
        <v/>
      </c>
      <c r="J31" s="4">
        <f>SUMIFS(交易明細!$L$2:$L$65,交易明細!$B$2:$B$65,$A31,交易明細!$J$2:$J$65,"&lt;&gt;未平倉")</f>
        <v/>
      </c>
      <c r="K31" s="5">
        <f>IFERROR(AVERAGEIFS(交易明細!$K$2:$K$65,交易明細!$B$2:$B$65,$A31,交易明細!$J$2:$J$65,"&lt;&gt;未平倉"),0)</f>
        <v/>
      </c>
      <c r="L31" s="2">
        <f>COUNTIFS(交易明細!$B$2:$B$65,$A31,交易明細!$J$2:$J$65,"未平倉")</f>
        <v/>
      </c>
    </row>
    <row r="32">
      <c r="A32" s="2" t="inlineStr">
        <is>
          <t>MEW_USDT_PERP</t>
        </is>
      </c>
      <c r="B32" s="2">
        <f>COUNTIFS(交易明細!$B$2:$B$65,$A32)</f>
        <v/>
      </c>
      <c r="C32" s="2">
        <f>COUNTIFS(交易明細!$B$2:$B$65,$A32,交易明細!$C$2:$C$65,"做多")</f>
        <v/>
      </c>
      <c r="D32" s="2">
        <f>COUNTIFS(交易明細!$B$2:$B$65,$A32,交易明細!$C$2:$C$65,"做空")</f>
        <v/>
      </c>
      <c r="E32" s="2">
        <f>F32+G32+COUNTIFS(交易明細!$B$2:$B$65,$A32,交易明細!$J$2:$J$65,"時間出場")</f>
        <v/>
      </c>
      <c r="F32" s="2">
        <f>COUNTIFS(交易明細!$B$2:$B$65,$A32,交易明細!$J$2:$J$65,"止盈")</f>
        <v/>
      </c>
      <c r="G32" s="2">
        <f>COUNTIFS(交易明細!$B$2:$B$65,$A32,交易明細!$J$2:$J$65,"止損")</f>
        <v/>
      </c>
      <c r="H32" s="4">
        <f>IFERROR(F32/E32,0)</f>
        <v/>
      </c>
      <c r="I32" s="4">
        <f>IFERROR(AVERAGEIFS(交易明細!$L$2:$L$65,交易明細!$B$2:$B$65,$A32,交易明細!$J$2:$J$65,"&lt;&gt;未平倉"),0)</f>
        <v/>
      </c>
      <c r="J32" s="4">
        <f>SUMIFS(交易明細!$L$2:$L$65,交易明細!$B$2:$B$65,$A32,交易明細!$J$2:$J$65,"&lt;&gt;未平倉")</f>
        <v/>
      </c>
      <c r="K32" s="5">
        <f>IFERROR(AVERAGEIFS(交易明細!$K$2:$K$65,交易明細!$B$2:$B$65,$A32,交易明細!$J$2:$J$65,"&lt;&gt;未平倉"),0)</f>
        <v/>
      </c>
      <c r="L32" s="2">
        <f>COUNTIFS(交易明細!$B$2:$B$65,$A32,交易明細!$J$2:$J$65,"未平倉")</f>
        <v/>
      </c>
    </row>
    <row r="33">
      <c r="A33" s="2" t="inlineStr">
        <is>
          <t>AKE_USDT_PERP</t>
        </is>
      </c>
      <c r="B33" s="2">
        <f>COUNTIFS(交易明細!$B$2:$B$65,$A33)</f>
        <v/>
      </c>
      <c r="C33" s="2">
        <f>COUNTIFS(交易明細!$B$2:$B$65,$A33,交易明細!$C$2:$C$65,"做多")</f>
        <v/>
      </c>
      <c r="D33" s="2">
        <f>COUNTIFS(交易明細!$B$2:$B$65,$A33,交易明細!$C$2:$C$65,"做空")</f>
        <v/>
      </c>
      <c r="E33" s="2">
        <f>F33+G33+COUNTIFS(交易明細!$B$2:$B$65,$A33,交易明細!$J$2:$J$65,"時間出場")</f>
        <v/>
      </c>
      <c r="F33" s="2">
        <f>COUNTIFS(交易明細!$B$2:$B$65,$A33,交易明細!$J$2:$J$65,"止盈")</f>
        <v/>
      </c>
      <c r="G33" s="2">
        <f>COUNTIFS(交易明細!$B$2:$B$65,$A33,交易明細!$J$2:$J$65,"止損")</f>
        <v/>
      </c>
      <c r="H33" s="4">
        <f>IFERROR(F33/E33,0)</f>
        <v/>
      </c>
      <c r="I33" s="4">
        <f>IFERROR(AVERAGEIFS(交易明細!$L$2:$L$65,交易明細!$B$2:$B$65,$A33,交易明細!$J$2:$J$65,"&lt;&gt;未平倉"),0)</f>
        <v/>
      </c>
      <c r="J33" s="4">
        <f>SUMIFS(交易明細!$L$2:$L$65,交易明細!$B$2:$B$65,$A33,交易明細!$J$2:$J$65,"&lt;&gt;未平倉")</f>
        <v/>
      </c>
      <c r="K33" s="5">
        <f>IFERROR(AVERAGEIFS(交易明細!$K$2:$K$65,交易明細!$B$2:$B$65,$A33,交易明細!$J$2:$J$65,"&lt;&gt;未平倉"),0)</f>
        <v/>
      </c>
      <c r="L33" s="2">
        <f>COUNTIFS(交易明細!$B$2:$B$65,$A33,交易明細!$J$2:$J$65,"未平倉")</f>
        <v/>
      </c>
    </row>
    <row r="34">
      <c r="A34" s="2" t="inlineStr">
        <is>
          <t>USELESS_USDT_PERP</t>
        </is>
      </c>
      <c r="B34" s="2">
        <f>COUNTIFS(交易明細!$B$2:$B$65,$A34)</f>
        <v/>
      </c>
      <c r="C34" s="2">
        <f>COUNTIFS(交易明細!$B$2:$B$65,$A34,交易明細!$C$2:$C$65,"做多")</f>
        <v/>
      </c>
      <c r="D34" s="2">
        <f>COUNTIFS(交易明細!$B$2:$B$65,$A34,交易明細!$C$2:$C$65,"做空")</f>
        <v/>
      </c>
      <c r="E34" s="2">
        <f>F34+G34+COUNTIFS(交易明細!$B$2:$B$65,$A34,交易明細!$J$2:$J$65,"時間出場")</f>
        <v/>
      </c>
      <c r="F34" s="2">
        <f>COUNTIFS(交易明細!$B$2:$B$65,$A34,交易明細!$J$2:$J$65,"止盈")</f>
        <v/>
      </c>
      <c r="G34" s="2">
        <f>COUNTIFS(交易明細!$B$2:$B$65,$A34,交易明細!$J$2:$J$65,"止損")</f>
        <v/>
      </c>
      <c r="H34" s="4">
        <f>IFERROR(F34/E34,0)</f>
        <v/>
      </c>
      <c r="I34" s="4">
        <f>IFERROR(AVERAGEIFS(交易明細!$L$2:$L$65,交易明細!$B$2:$B$65,$A34,交易明細!$J$2:$J$65,"&lt;&gt;未平倉"),0)</f>
        <v/>
      </c>
      <c r="J34" s="4">
        <f>SUMIFS(交易明細!$L$2:$L$65,交易明細!$B$2:$B$65,$A34,交易明細!$J$2:$J$65,"&lt;&gt;未平倉")</f>
        <v/>
      </c>
      <c r="K34" s="5">
        <f>IFERROR(AVERAGEIFS(交易明細!$K$2:$K$65,交易明細!$B$2:$B$65,$A34,交易明細!$J$2:$J$65,"&lt;&gt;未平倉"),0)</f>
        <v/>
      </c>
      <c r="L34" s="2">
        <f>COUNTIFS(交易明細!$B$2:$B$65,$A34,交易明細!$J$2:$J$65,"未平倉")</f>
        <v/>
      </c>
    </row>
    <row r="35">
      <c r="A35" s="2" t="inlineStr">
        <is>
          <t>MEGA_USDT_PERP</t>
        </is>
      </c>
      <c r="B35" s="2">
        <f>COUNTIFS(交易明細!$B$2:$B$65,$A35)</f>
        <v/>
      </c>
      <c r="C35" s="2">
        <f>COUNTIFS(交易明細!$B$2:$B$65,$A35,交易明細!$C$2:$C$65,"做多")</f>
        <v/>
      </c>
      <c r="D35" s="2">
        <f>COUNTIFS(交易明細!$B$2:$B$65,$A35,交易明細!$C$2:$C$65,"做空")</f>
        <v/>
      </c>
      <c r="E35" s="2">
        <f>F35+G35+COUNTIFS(交易明細!$B$2:$B$65,$A35,交易明細!$J$2:$J$65,"時間出場")</f>
        <v/>
      </c>
      <c r="F35" s="2">
        <f>COUNTIFS(交易明細!$B$2:$B$65,$A35,交易明細!$J$2:$J$65,"止盈")</f>
        <v/>
      </c>
      <c r="G35" s="2">
        <f>COUNTIFS(交易明細!$B$2:$B$65,$A35,交易明細!$J$2:$J$65,"止損")</f>
        <v/>
      </c>
      <c r="H35" s="4">
        <f>IFERROR(F35/E35,0)</f>
        <v/>
      </c>
      <c r="I35" s="4">
        <f>IFERROR(AVERAGEIFS(交易明細!$L$2:$L$65,交易明細!$B$2:$B$65,$A35,交易明細!$J$2:$J$65,"&lt;&gt;未平倉"),0)</f>
        <v/>
      </c>
      <c r="J35" s="4">
        <f>SUMIFS(交易明細!$L$2:$L$65,交易明細!$B$2:$B$65,$A35,交易明細!$J$2:$J$65,"&lt;&gt;未平倉")</f>
        <v/>
      </c>
      <c r="K35" s="5">
        <f>IFERROR(AVERAGEIFS(交易明細!$K$2:$K$65,交易明細!$B$2:$B$65,$A35,交易明細!$J$2:$J$65,"&lt;&gt;未平倉"),0)</f>
        <v/>
      </c>
      <c r="L35" s="2">
        <f>COUNTIFS(交易明細!$B$2:$B$65,$A35,交易明細!$J$2:$J$65,"未平倉")</f>
        <v/>
      </c>
    </row>
    <row r="36">
      <c r="A36" s="2" t="inlineStr">
        <is>
          <t>NIGHT_USDT_PERP</t>
        </is>
      </c>
      <c r="B36" s="2">
        <f>COUNTIFS(交易明細!$B$2:$B$65,$A36)</f>
        <v/>
      </c>
      <c r="C36" s="2">
        <f>COUNTIFS(交易明細!$B$2:$B$65,$A36,交易明細!$C$2:$C$65,"做多")</f>
        <v/>
      </c>
      <c r="D36" s="2">
        <f>COUNTIFS(交易明細!$B$2:$B$65,$A36,交易明細!$C$2:$C$65,"做空")</f>
        <v/>
      </c>
      <c r="E36" s="2">
        <f>F36+G36+COUNTIFS(交易明細!$B$2:$B$65,$A36,交易明細!$J$2:$J$65,"時間出場")</f>
        <v/>
      </c>
      <c r="F36" s="2">
        <f>COUNTIFS(交易明細!$B$2:$B$65,$A36,交易明細!$J$2:$J$65,"止盈")</f>
        <v/>
      </c>
      <c r="G36" s="2">
        <f>COUNTIFS(交易明細!$B$2:$B$65,$A36,交易明細!$J$2:$J$65,"止損")</f>
        <v/>
      </c>
      <c r="H36" s="4">
        <f>IFERROR(F36/E36,0)</f>
        <v/>
      </c>
      <c r="I36" s="4">
        <f>IFERROR(AVERAGEIFS(交易明細!$L$2:$L$65,交易明細!$B$2:$B$65,$A36,交易明細!$J$2:$J$65,"&lt;&gt;未平倉"),0)</f>
        <v/>
      </c>
      <c r="J36" s="4">
        <f>SUMIFS(交易明細!$L$2:$L$65,交易明細!$B$2:$B$65,$A36,交易明細!$J$2:$J$65,"&lt;&gt;未平倉")</f>
        <v/>
      </c>
      <c r="K36" s="5">
        <f>IFERROR(AVERAGEIFS(交易明細!$K$2:$K$65,交易明細!$B$2:$B$65,$A36,交易明細!$J$2:$J$65,"&lt;&gt;未平倉"),0)</f>
        <v/>
      </c>
      <c r="L36" s="2">
        <f>COUNTIFS(交易明細!$B$2:$B$65,$A36,交易明細!$J$2:$J$65,"未平倉")</f>
        <v/>
      </c>
    </row>
    <row r="37">
      <c r="A37" s="2" t="inlineStr">
        <is>
          <t>POWER_USDT_PERP</t>
        </is>
      </c>
      <c r="B37" s="2">
        <f>COUNTIFS(交易明細!$B$2:$B$65,$A37)</f>
        <v/>
      </c>
      <c r="C37" s="2">
        <f>COUNTIFS(交易明細!$B$2:$B$65,$A37,交易明細!$C$2:$C$65,"做多")</f>
        <v/>
      </c>
      <c r="D37" s="2">
        <f>COUNTIFS(交易明細!$B$2:$B$65,$A37,交易明細!$C$2:$C$65,"做空")</f>
        <v/>
      </c>
      <c r="E37" s="2">
        <f>F37+G37+COUNTIFS(交易明細!$B$2:$B$65,$A37,交易明細!$J$2:$J$65,"時間出場")</f>
        <v/>
      </c>
      <c r="F37" s="2">
        <f>COUNTIFS(交易明細!$B$2:$B$65,$A37,交易明細!$J$2:$J$65,"止盈")</f>
        <v/>
      </c>
      <c r="G37" s="2">
        <f>COUNTIFS(交易明細!$B$2:$B$65,$A37,交易明細!$J$2:$J$65,"止損")</f>
        <v/>
      </c>
      <c r="H37" s="4">
        <f>IFERROR(F37/E37,0)</f>
        <v/>
      </c>
      <c r="I37" s="4">
        <f>IFERROR(AVERAGEIFS(交易明細!$L$2:$L$65,交易明細!$B$2:$B$65,$A37,交易明細!$J$2:$J$65,"&lt;&gt;未平倉"),0)</f>
        <v/>
      </c>
      <c r="J37" s="4">
        <f>SUMIFS(交易明細!$L$2:$L$65,交易明細!$B$2:$B$65,$A37,交易明細!$J$2:$J$65,"&lt;&gt;未平倉")</f>
        <v/>
      </c>
      <c r="K37" s="5">
        <f>IFERROR(AVERAGEIFS(交易明細!$K$2:$K$65,交易明細!$B$2:$B$65,$A37,交易明細!$J$2:$J$65,"&lt;&gt;未平倉"),0)</f>
        <v/>
      </c>
      <c r="L37" s="2">
        <f>COUNTIFS(交易明細!$B$2:$B$65,$A37,交易明細!$J$2:$J$65,"未平倉")</f>
        <v/>
      </c>
    </row>
    <row r="38">
      <c r="A38" s="2" t="inlineStr">
        <is>
          <t>SAND_USDT_PERP</t>
        </is>
      </c>
      <c r="B38" s="2">
        <f>COUNTIFS(交易明細!$B$2:$B$65,$A38)</f>
        <v/>
      </c>
      <c r="C38" s="2">
        <f>COUNTIFS(交易明細!$B$2:$B$65,$A38,交易明細!$C$2:$C$65,"做多")</f>
        <v/>
      </c>
      <c r="D38" s="2">
        <f>COUNTIFS(交易明細!$B$2:$B$65,$A38,交易明細!$C$2:$C$65,"做空")</f>
        <v/>
      </c>
      <c r="E38" s="2">
        <f>F38+G38+COUNTIFS(交易明細!$B$2:$B$65,$A38,交易明細!$J$2:$J$65,"時間出場")</f>
        <v/>
      </c>
      <c r="F38" s="2">
        <f>COUNTIFS(交易明細!$B$2:$B$65,$A38,交易明細!$J$2:$J$65,"止盈")</f>
        <v/>
      </c>
      <c r="G38" s="2">
        <f>COUNTIFS(交易明細!$B$2:$B$65,$A38,交易明細!$J$2:$J$65,"止損")</f>
        <v/>
      </c>
      <c r="H38" s="4">
        <f>IFERROR(F38/E38,0)</f>
        <v/>
      </c>
      <c r="I38" s="4">
        <f>IFERROR(AVERAGEIFS(交易明細!$L$2:$L$65,交易明細!$B$2:$B$65,$A38,交易明細!$J$2:$J$65,"&lt;&gt;未平倉"),0)</f>
        <v/>
      </c>
      <c r="J38" s="4">
        <f>SUMIFS(交易明細!$L$2:$L$65,交易明細!$B$2:$B$65,$A38,交易明細!$J$2:$J$65,"&lt;&gt;未平倉")</f>
        <v/>
      </c>
      <c r="K38" s="5">
        <f>IFERROR(AVERAGEIFS(交易明細!$K$2:$K$65,交易明細!$B$2:$B$65,$A38,交易明細!$J$2:$J$65,"&lt;&gt;未平倉"),0)</f>
        <v/>
      </c>
      <c r="L38" s="2">
        <f>COUNTIFS(交易明細!$B$2:$B$65,$A38,交易明細!$J$2:$J$65,"未平倉")</f>
        <v/>
      </c>
    </row>
    <row r="39">
      <c r="A39" s="2" t="inlineStr">
        <is>
          <t>TAKE_USDT_PERP</t>
        </is>
      </c>
      <c r="B39" s="2">
        <f>COUNTIFS(交易明細!$B$2:$B$65,$A39)</f>
        <v/>
      </c>
      <c r="C39" s="2">
        <f>COUNTIFS(交易明細!$B$2:$B$65,$A39,交易明細!$C$2:$C$65,"做多")</f>
        <v/>
      </c>
      <c r="D39" s="2">
        <f>COUNTIFS(交易明細!$B$2:$B$65,$A39,交易明細!$C$2:$C$65,"做空")</f>
        <v/>
      </c>
      <c r="E39" s="2">
        <f>F39+G39+COUNTIFS(交易明細!$B$2:$B$65,$A39,交易明細!$J$2:$J$65,"時間出場")</f>
        <v/>
      </c>
      <c r="F39" s="2">
        <f>COUNTIFS(交易明細!$B$2:$B$65,$A39,交易明細!$J$2:$J$65,"止盈")</f>
        <v/>
      </c>
      <c r="G39" s="2">
        <f>COUNTIFS(交易明細!$B$2:$B$65,$A39,交易明細!$J$2:$J$65,"止損")</f>
        <v/>
      </c>
      <c r="H39" s="4">
        <f>IFERROR(F39/E39,0)</f>
        <v/>
      </c>
      <c r="I39" s="4">
        <f>IFERROR(AVERAGEIFS(交易明細!$L$2:$L$65,交易明細!$B$2:$B$65,$A39,交易明細!$J$2:$J$65,"&lt;&gt;未平倉"),0)</f>
        <v/>
      </c>
      <c r="J39" s="4">
        <f>SUMIFS(交易明細!$L$2:$L$65,交易明細!$B$2:$B$65,$A39,交易明細!$J$2:$J$65,"&lt;&gt;未平倉")</f>
        <v/>
      </c>
      <c r="K39" s="5">
        <f>IFERROR(AVERAGEIFS(交易明細!$K$2:$K$65,交易明細!$B$2:$B$65,$A39,交易明細!$J$2:$J$65,"&lt;&gt;未平倉"),0)</f>
        <v/>
      </c>
      <c r="L39" s="2">
        <f>COUNTIFS(交易明細!$B$2:$B$65,$A39,交易明細!$J$2:$J$65,"未平倉")</f>
        <v/>
      </c>
    </row>
    <row r="40">
      <c r="A40" s="2" t="inlineStr">
        <is>
          <t>AIO_USDT_PERP</t>
        </is>
      </c>
      <c r="B40" s="2">
        <f>COUNTIFS(交易明細!$B$2:$B$65,$A40)</f>
        <v/>
      </c>
      <c r="C40" s="2">
        <f>COUNTIFS(交易明細!$B$2:$B$65,$A40,交易明細!$C$2:$C$65,"做多")</f>
        <v/>
      </c>
      <c r="D40" s="2">
        <f>COUNTIFS(交易明細!$B$2:$B$65,$A40,交易明細!$C$2:$C$65,"做空")</f>
        <v/>
      </c>
      <c r="E40" s="2">
        <f>F40+G40+COUNTIFS(交易明細!$B$2:$B$65,$A40,交易明細!$J$2:$J$65,"時間出場")</f>
        <v/>
      </c>
      <c r="F40" s="2">
        <f>COUNTIFS(交易明細!$B$2:$B$65,$A40,交易明細!$J$2:$J$65,"止盈")</f>
        <v/>
      </c>
      <c r="G40" s="2">
        <f>COUNTIFS(交易明細!$B$2:$B$65,$A40,交易明細!$J$2:$J$65,"止損")</f>
        <v/>
      </c>
      <c r="H40" s="4">
        <f>IFERROR(F40/E40,0)</f>
        <v/>
      </c>
      <c r="I40" s="4">
        <f>IFERROR(AVERAGEIFS(交易明細!$L$2:$L$65,交易明細!$B$2:$B$65,$A40,交易明細!$J$2:$J$65,"&lt;&gt;未平倉"),0)</f>
        <v/>
      </c>
      <c r="J40" s="4">
        <f>SUMIFS(交易明細!$L$2:$L$65,交易明細!$B$2:$B$65,$A40,交易明細!$J$2:$J$65,"&lt;&gt;未平倉")</f>
        <v/>
      </c>
      <c r="K40" s="5">
        <f>IFERROR(AVERAGEIFS(交易明細!$K$2:$K$65,交易明細!$B$2:$B$65,$A40,交易明細!$J$2:$J$65,"&lt;&gt;未平倉"),0)</f>
        <v/>
      </c>
      <c r="L40" s="2">
        <f>COUNTIFS(交易明細!$B$2:$B$65,$A40,交易明細!$J$2:$J$65,"未平倉")</f>
        <v/>
      </c>
    </row>
    <row r="41">
      <c r="A41" s="2" t="inlineStr">
        <is>
          <t>ESP_USDT_PERP</t>
        </is>
      </c>
      <c r="B41" s="2">
        <f>COUNTIFS(交易明細!$B$2:$B$65,$A41)</f>
        <v/>
      </c>
      <c r="C41" s="2">
        <f>COUNTIFS(交易明細!$B$2:$B$65,$A41,交易明細!$C$2:$C$65,"做多")</f>
        <v/>
      </c>
      <c r="D41" s="2">
        <f>COUNTIFS(交易明細!$B$2:$B$65,$A41,交易明細!$C$2:$C$65,"做空")</f>
        <v/>
      </c>
      <c r="E41" s="2">
        <f>F41+G41+COUNTIFS(交易明細!$B$2:$B$65,$A41,交易明細!$J$2:$J$65,"時間出場")</f>
        <v/>
      </c>
      <c r="F41" s="2">
        <f>COUNTIFS(交易明細!$B$2:$B$65,$A41,交易明細!$J$2:$J$65,"止盈")</f>
        <v/>
      </c>
      <c r="G41" s="2">
        <f>COUNTIFS(交易明細!$B$2:$B$65,$A41,交易明細!$J$2:$J$65,"止損")</f>
        <v/>
      </c>
      <c r="H41" s="4">
        <f>IFERROR(F41/E41,0)</f>
        <v/>
      </c>
      <c r="I41" s="4">
        <f>IFERROR(AVERAGEIFS(交易明細!$L$2:$L$65,交易明細!$B$2:$B$65,$A41,交易明細!$J$2:$J$65,"&lt;&gt;未平倉"),0)</f>
        <v/>
      </c>
      <c r="J41" s="4">
        <f>SUMIFS(交易明細!$L$2:$L$65,交易明細!$B$2:$B$65,$A41,交易明細!$J$2:$J$65,"&lt;&gt;未平倉")</f>
        <v/>
      </c>
      <c r="K41" s="5">
        <f>IFERROR(AVERAGEIFS(交易明細!$K$2:$K$65,交易明細!$B$2:$B$65,$A41,交易明細!$J$2:$J$65,"&lt;&gt;未平倉"),0)</f>
        <v/>
      </c>
      <c r="L41" s="2">
        <f>COUNTIFS(交易明細!$B$2:$B$65,$A41,交易明細!$J$2:$J$65,"未平倉")</f>
        <v/>
      </c>
    </row>
    <row r="42">
      <c r="A42" s="2" t="inlineStr">
        <is>
          <t>BAT_USDT_PERP</t>
        </is>
      </c>
      <c r="B42" s="2">
        <f>COUNTIFS(交易明細!$B$2:$B$65,$A42)</f>
        <v/>
      </c>
      <c r="C42" s="2">
        <f>COUNTIFS(交易明細!$B$2:$B$65,$A42,交易明細!$C$2:$C$65,"做多")</f>
        <v/>
      </c>
      <c r="D42" s="2">
        <f>COUNTIFS(交易明細!$B$2:$B$65,$A42,交易明細!$C$2:$C$65,"做空")</f>
        <v/>
      </c>
      <c r="E42" s="2">
        <f>F42+G42+COUNTIFS(交易明細!$B$2:$B$65,$A42,交易明細!$J$2:$J$65,"時間出場")</f>
        <v/>
      </c>
      <c r="F42" s="2">
        <f>COUNTIFS(交易明細!$B$2:$B$65,$A42,交易明細!$J$2:$J$65,"止盈")</f>
        <v/>
      </c>
      <c r="G42" s="2">
        <f>COUNTIFS(交易明細!$B$2:$B$65,$A42,交易明細!$J$2:$J$65,"止損")</f>
        <v/>
      </c>
      <c r="H42" s="4">
        <f>IFERROR(F42/E42,0)</f>
        <v/>
      </c>
      <c r="I42" s="4">
        <f>IFERROR(AVERAGEIFS(交易明細!$L$2:$L$65,交易明細!$B$2:$B$65,$A42,交易明細!$J$2:$J$65,"&lt;&gt;未平倉"),0)</f>
        <v/>
      </c>
      <c r="J42" s="4">
        <f>SUMIFS(交易明細!$L$2:$L$65,交易明細!$B$2:$B$65,$A42,交易明細!$J$2:$J$65,"&lt;&gt;未平倉")</f>
        <v/>
      </c>
      <c r="K42" s="5">
        <f>IFERROR(AVERAGEIFS(交易明細!$K$2:$K$65,交易明細!$B$2:$B$65,$A42,交易明細!$J$2:$J$65,"&lt;&gt;未平倉"),0)</f>
        <v/>
      </c>
      <c r="L42" s="2">
        <f>COUNTIFS(交易明細!$B$2:$B$65,$A42,交易明細!$J$2:$J$65,"未平倉")</f>
        <v/>
      </c>
    </row>
    <row r="43">
      <c r="A43" s="2" t="inlineStr">
        <is>
          <t>PONS_USDT_PERP</t>
        </is>
      </c>
      <c r="B43" s="2">
        <f>COUNTIFS(交易明細!$B$2:$B$65,$A43)</f>
        <v/>
      </c>
      <c r="C43" s="2">
        <f>COUNTIFS(交易明細!$B$2:$B$65,$A43,交易明細!$C$2:$C$65,"做多")</f>
        <v/>
      </c>
      <c r="D43" s="2">
        <f>COUNTIFS(交易明細!$B$2:$B$65,$A43,交易明細!$C$2:$C$65,"做空")</f>
        <v/>
      </c>
      <c r="E43" s="2">
        <f>F43+G43+COUNTIFS(交易明細!$B$2:$B$65,$A43,交易明細!$J$2:$J$65,"時間出場")</f>
        <v/>
      </c>
      <c r="F43" s="2">
        <f>COUNTIFS(交易明細!$B$2:$B$65,$A43,交易明細!$J$2:$J$65,"止盈")</f>
        <v/>
      </c>
      <c r="G43" s="2">
        <f>COUNTIFS(交易明細!$B$2:$B$65,$A43,交易明細!$J$2:$J$65,"止損")</f>
        <v/>
      </c>
      <c r="H43" s="4">
        <f>IFERROR(F43/E43,0)</f>
        <v/>
      </c>
      <c r="I43" s="4">
        <f>IFERROR(AVERAGEIFS(交易明細!$L$2:$L$65,交易明細!$B$2:$B$65,$A43,交易明細!$J$2:$J$65,"&lt;&gt;未平倉"),0)</f>
        <v/>
      </c>
      <c r="J43" s="4">
        <f>SUMIFS(交易明細!$L$2:$L$65,交易明細!$B$2:$B$65,$A43,交易明細!$J$2:$J$65,"&lt;&gt;未平倉")</f>
        <v/>
      </c>
      <c r="K43" s="5">
        <f>IFERROR(AVERAGEIFS(交易明細!$K$2:$K$65,交易明細!$B$2:$B$65,$A43,交易明細!$J$2:$J$65,"&lt;&gt;未平倉"),0)</f>
        <v/>
      </c>
      <c r="L43" s="2">
        <f>COUNTIFS(交易明細!$B$2:$B$65,$A43,交易明細!$J$2:$J$65,"未平倉")</f>
        <v/>
      </c>
    </row>
    <row r="44">
      <c r="A44" s="2" t="inlineStr">
        <is>
          <t>COLLECT_USDT_PERP</t>
        </is>
      </c>
      <c r="B44" s="2">
        <f>COUNTIFS(交易明細!$B$2:$B$65,$A44)</f>
        <v/>
      </c>
      <c r="C44" s="2">
        <f>COUNTIFS(交易明細!$B$2:$B$65,$A44,交易明細!$C$2:$C$65,"做多")</f>
        <v/>
      </c>
      <c r="D44" s="2">
        <f>COUNTIFS(交易明細!$B$2:$B$65,$A44,交易明細!$C$2:$C$65,"做空")</f>
        <v/>
      </c>
      <c r="E44" s="2">
        <f>F44+G44+COUNTIFS(交易明細!$B$2:$B$65,$A44,交易明細!$J$2:$J$65,"時間出場")</f>
        <v/>
      </c>
      <c r="F44" s="2">
        <f>COUNTIFS(交易明細!$B$2:$B$65,$A44,交易明細!$J$2:$J$65,"止盈")</f>
        <v/>
      </c>
      <c r="G44" s="2">
        <f>COUNTIFS(交易明細!$B$2:$B$65,$A44,交易明細!$J$2:$J$65,"止損")</f>
        <v/>
      </c>
      <c r="H44" s="4">
        <f>IFERROR(F44/E44,0)</f>
        <v/>
      </c>
      <c r="I44" s="4">
        <f>IFERROR(AVERAGEIFS(交易明細!$L$2:$L$65,交易明細!$B$2:$B$65,$A44,交易明細!$J$2:$J$65,"&lt;&gt;未平倉"),0)</f>
        <v/>
      </c>
      <c r="J44" s="4">
        <f>SUMIFS(交易明細!$L$2:$L$65,交易明細!$B$2:$B$65,$A44,交易明細!$J$2:$J$65,"&lt;&gt;未平倉")</f>
        <v/>
      </c>
      <c r="K44" s="5">
        <f>IFERROR(AVERAGEIFS(交易明細!$K$2:$K$65,交易明細!$B$2:$B$65,$A44,交易明細!$J$2:$J$65,"&lt;&gt;未平倉"),0)</f>
        <v/>
      </c>
      <c r="L44" s="2">
        <f>COUNTIFS(交易明細!$B$2:$B$65,$A44,交易明細!$J$2:$J$65,"未平倉")</f>
        <v/>
      </c>
    </row>
  </sheetData>
  <autoFilter ref="A1:L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>
        <is>
          <t>持倉中</t>
        </is>
      </c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2026-10-06T00:54:02Z</dcterms:created>
  <dcterms:modified xsi:type="dcterms:W3CDTF">2026-10-06T00:54:02Z</dcterms:modified>
</cp:coreProperties>
</file>